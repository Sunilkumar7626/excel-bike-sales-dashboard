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unil\Downloads\"/>
    </mc:Choice>
  </mc:AlternateContent>
  <xr:revisionPtr revIDLastSave="0" documentId="8_{727695B2-7732-4603-B449-7EC7E1B63523}" xr6:coauthVersionLast="47" xr6:coauthVersionMax="47" xr10:uidLastSave="{00000000-0000-0000-0000-000000000000}"/>
  <bookViews>
    <workbookView xWindow="-110" yWindow="-110" windowWidth="19420" windowHeight="11500" xr2:uid="{00000000-000D-0000-FFFF-FFFF00000000}"/>
  </bookViews>
  <sheets>
    <sheet name="bike_buyers" sheetId="1" r:id="rId1"/>
    <sheet name="working sheet " sheetId="5" r:id="rId2"/>
    <sheet name="Pivot table " sheetId="4" r:id="rId3"/>
    <sheet name="KPI_calculation" sheetId="6" r:id="rId4"/>
    <sheet name="Dashboard" sheetId="3" r:id="rId5"/>
  </sheets>
  <definedNames>
    <definedName name="_xlnm._FilterDatabase" localSheetId="0" hidden="1">bike_buyers!$A$1:$M$1001</definedName>
    <definedName name="_xlnm._FilterDatabase" localSheetId="1" hidden="1">'working sheet '!$A$1:$N$1001</definedName>
    <definedName name="Slicer_Education">#N/A</definedName>
    <definedName name="Slicer_Marit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6" l="1"/>
  <c r="B4" i="6"/>
  <c r="B3" i="6"/>
  <c r="B2" i="6"/>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<sst xmlns="http://schemas.openxmlformats.org/spreadsheetml/2006/main" count="16280" uniqueCount="57">
  <si>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</si>
  <si>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</si>
  <si>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</si>
  <si>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</si>
  <si>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</si>
  <si>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</si>
  <si>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</si>
  <si>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</si>
  <si>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</si>
  <si>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</si>
  <si>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</si>
  <si>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</si>
  <si>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</si>
  <si>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</si>
  <si>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</si>
  <si>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</si>
  <si>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</si>
  <si>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</si>
  <si>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</si>
  <si>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</si>
  <si>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</si>
  <si>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</si>
  <si>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</si>
  <si>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</si>
  <si>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</si>
  <si>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</si>
  <si>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</si>
  <si>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</si>
  <si>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</si>
  <si>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</si>
  <si>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</si>
  <si>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</si>
  <si>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</si>
  <si>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</si>
  <si>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</si>
  <si>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</si>
  <si>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</si>
  <si>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</si>
  <si>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</si>
  <si>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</si>
  <si>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Bracets</t>
  </si>
  <si>
    <t>Row Labels</t>
  </si>
  <si>
    <t>Grand Total</t>
  </si>
  <si>
    <t>Column Labels</t>
  </si>
  <si>
    <t>Average of income</t>
  </si>
  <si>
    <t>Count of Purchased Bike</t>
  </si>
  <si>
    <t>more than 10 Miles</t>
  </si>
  <si>
    <t>Middle age 31-54</t>
  </si>
  <si>
    <t>Old 55+</t>
  </si>
  <si>
    <t>adolescent 0-30</t>
  </si>
  <si>
    <t>Bike Sales Dashboard</t>
  </si>
  <si>
    <t xml:space="preserve">KPI Name </t>
  </si>
  <si>
    <t xml:space="preserve">Value </t>
  </si>
  <si>
    <t xml:space="preserve">Total Customers </t>
  </si>
  <si>
    <t>Bike Purchased</t>
  </si>
  <si>
    <t>Purchased Rate %</t>
  </si>
  <si>
    <t>Average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</si>
</sst>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 #,##0_-;\-* #,##0_-;_-* &quot;-&quot;??_-;_-@_-"/>
    <numFmt numFmtId="168"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xf numFmtId="168" fontId="0" fillId="0" borderId="0" xfId="0" applyNumberFormat="1"/>
    <xf numFmtId="9" fontId="0" fillId="0" borderId="0" xfId="42" applyFont="1"/>
    <xf numFmtId="9" fontId="0" fillId="0" borderId="0" xfId="0" applyNumberFormat="1"/>
    <xf numFmtId="0" fontId="0" fillId="34" borderId="0" xfId="0" applyFill="1"/>
    <xf numFmtId="0" fontId="0" fillId="34"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numFmt numFmtId="165"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'!$B$3:$B$4</c:f>
              <c:strCache>
                <c:ptCount val="1"/>
                <c:pt idx="0">
                  <c:v>No</c:v>
                </c:pt>
              </c:strCache>
            </c:strRef>
          </c:tx>
          <c:spPr>
            <a:solidFill>
              <a:schemeClr val="accent1"/>
            </a:solidFill>
            <a:ln>
              <a:noFill/>
            </a:ln>
            <a:effectLst/>
          </c:spPr>
          <c:invertIfNegative val="0"/>
          <c:cat>
            <c:strRef>
              <c:f>'Pivot table '!$A$5:$A$7</c:f>
              <c:strCache>
                <c:ptCount val="2"/>
                <c:pt idx="0">
                  <c:v>Female</c:v>
                </c:pt>
                <c:pt idx="1">
                  <c:v>Male</c:v>
                </c:pt>
              </c:strCache>
            </c:strRef>
          </c:cat>
          <c:val>
            <c:numRef>
              <c:f>'Pivot table '!$B$5:$B$7</c:f>
              <c:numCache>
                <c:formatCode>_-* #,##0_-;\-* #,##0_-;_-* "-"??_-;_-@_-</c:formatCode>
                <c:ptCount val="2"/>
                <c:pt idx="0">
                  <c:v>970000</c:v>
                </c:pt>
                <c:pt idx="1">
                  <c:v>580000</c:v>
                </c:pt>
              </c:numCache>
            </c:numRef>
          </c:val>
          <c:extLst>
            <c:ext xmlns:c16="http://schemas.microsoft.com/office/drawing/2014/chart" uri="{C3380CC4-5D6E-409C-BE32-E72D297353CC}">
              <c16:uniqueId val="{00000000-F62D-4039-8C50-D513C60CC46A}"/>
            </c:ext>
          </c:extLst>
        </c:ser>
        <c:ser>
          <c:idx val="1"/>
          <c:order val="1"/>
          <c:tx>
            <c:strRef>
              <c:f>'Pivot table '!$C$3:$C$4</c:f>
              <c:strCache>
                <c:ptCount val="1"/>
                <c:pt idx="0">
                  <c:v>Yes</c:v>
                </c:pt>
              </c:strCache>
            </c:strRef>
          </c:tx>
          <c:spPr>
            <a:solidFill>
              <a:schemeClr val="accent2"/>
            </a:solidFill>
            <a:ln>
              <a:noFill/>
            </a:ln>
            <a:effectLst/>
          </c:spPr>
          <c:invertIfNegative val="0"/>
          <c:cat>
            <c:strRef>
              <c:f>'Pivot table '!$A$5:$A$7</c:f>
              <c:strCache>
                <c:ptCount val="2"/>
                <c:pt idx="0">
                  <c:v>Female</c:v>
                </c:pt>
                <c:pt idx="1">
                  <c:v>Male</c:v>
                </c:pt>
              </c:strCache>
            </c:strRef>
          </c:cat>
          <c:val>
            <c:numRef>
              <c:f>'Pivot table '!$C$5:$C$7</c:f>
              <c:numCache>
                <c:formatCode>_-* #,##0_-;\-* #,##0_-;_-* "-"??_-;_-@_-</c:formatCode>
                <c:ptCount val="2"/>
                <c:pt idx="0">
                  <c:v>660000</c:v>
                </c:pt>
                <c:pt idx="1">
                  <c:v>1330000</c:v>
                </c:pt>
              </c:numCache>
            </c:numRef>
          </c:val>
          <c:extLst>
            <c:ext xmlns:c16="http://schemas.microsoft.com/office/drawing/2014/chart" uri="{C3380CC4-5D6E-409C-BE32-E72D297353CC}">
              <c16:uniqueId val="{00000001-F62D-4039-8C50-D513C60CC46A}"/>
            </c:ext>
          </c:extLst>
        </c:ser>
        <c:dLbls>
          <c:showLegendKey val="0"/>
          <c:showVal val="0"/>
          <c:showCatName val="0"/>
          <c:showSerName val="0"/>
          <c:showPercent val="0"/>
          <c:showBubbleSize val="0"/>
        </c:dLbls>
        <c:gapWidth val="219"/>
        <c:overlap val="-27"/>
        <c:axId val="2096136352"/>
        <c:axId val="2096150272"/>
      </c:barChart>
      <c:catAx>
        <c:axId val="209613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96150272"/>
        <c:crosses val="autoZero"/>
        <c:auto val="1"/>
        <c:lblAlgn val="ctr"/>
        <c:lblOffset val="100"/>
        <c:noMultiLvlLbl val="0"/>
      </c:catAx>
      <c:valAx>
        <c:axId val="2096150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96136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D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'!$B$20:$B$21</c:f>
              <c:strCache>
                <c:ptCount val="1"/>
                <c:pt idx="0">
                  <c:v>No</c:v>
                </c:pt>
              </c:strCache>
            </c:strRef>
          </c:tx>
          <c:spPr>
            <a:ln w="28575" cap="rnd">
              <a:solidFill>
                <a:schemeClr val="accent1"/>
              </a:solidFill>
              <a:round/>
            </a:ln>
            <a:effectLst/>
          </c:spPr>
          <c:marker>
            <c:symbol val="none"/>
          </c:marker>
          <c:cat>
            <c:strRef>
              <c:f>'Pivot table '!$A$22:$A$27</c:f>
              <c:strCache>
                <c:ptCount val="5"/>
                <c:pt idx="0">
                  <c:v>0-1 Miles</c:v>
                </c:pt>
                <c:pt idx="1">
                  <c:v>1-2 Miles</c:v>
                </c:pt>
                <c:pt idx="2">
                  <c:v>2-5 Miles</c:v>
                </c:pt>
                <c:pt idx="3">
                  <c:v>5-10 Miles</c:v>
                </c:pt>
                <c:pt idx="4">
                  <c:v>more than 10 Miles</c:v>
                </c:pt>
              </c:strCache>
            </c:strRef>
          </c:cat>
          <c:val>
            <c:numRef>
              <c:f>'Pivot table '!$B$22:$B$27</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B1C9-4D14-AE1D-4F47C624D2E5}"/>
            </c:ext>
          </c:extLst>
        </c:ser>
        <c:ser>
          <c:idx val="1"/>
          <c:order val="1"/>
          <c:tx>
            <c:strRef>
              <c:f>'Pivot table '!$C$20:$C$21</c:f>
              <c:strCache>
                <c:ptCount val="1"/>
                <c:pt idx="0">
                  <c:v>Yes</c:v>
                </c:pt>
              </c:strCache>
            </c:strRef>
          </c:tx>
          <c:spPr>
            <a:ln w="28575" cap="rnd">
              <a:solidFill>
                <a:schemeClr val="accent2"/>
              </a:solidFill>
              <a:round/>
            </a:ln>
            <a:effectLst/>
          </c:spPr>
          <c:marker>
            <c:symbol val="none"/>
          </c:marker>
          <c:cat>
            <c:strRef>
              <c:f>'Pivot table '!$A$22:$A$27</c:f>
              <c:strCache>
                <c:ptCount val="5"/>
                <c:pt idx="0">
                  <c:v>0-1 Miles</c:v>
                </c:pt>
                <c:pt idx="1">
                  <c:v>1-2 Miles</c:v>
                </c:pt>
                <c:pt idx="2">
                  <c:v>2-5 Miles</c:v>
                </c:pt>
                <c:pt idx="3">
                  <c:v>5-10 Miles</c:v>
                </c:pt>
                <c:pt idx="4">
                  <c:v>more than 10 Miles</c:v>
                </c:pt>
              </c:strCache>
            </c:strRef>
          </c:cat>
          <c:val>
            <c:numRef>
              <c:f>'Pivot table '!$C$22:$C$27</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B1C9-4D14-AE1D-4F47C624D2E5}"/>
            </c:ext>
          </c:extLst>
        </c:ser>
        <c:dLbls>
          <c:showLegendKey val="0"/>
          <c:showVal val="0"/>
          <c:showCatName val="0"/>
          <c:showSerName val="0"/>
          <c:showPercent val="0"/>
          <c:showBubbleSize val="0"/>
        </c:dLbls>
        <c:smooth val="0"/>
        <c:axId val="2096143552"/>
        <c:axId val="2096138272"/>
      </c:lineChart>
      <c:catAx>
        <c:axId val="2096143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96138272"/>
        <c:crosses val="autoZero"/>
        <c:auto val="1"/>
        <c:lblAlgn val="ctr"/>
        <c:lblOffset val="100"/>
        <c:noMultiLvlLbl val="0"/>
      </c:catAx>
      <c:valAx>
        <c:axId val="2096138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9614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'!$A$42:$A$45</c:f>
              <c:strCache>
                <c:ptCount val="3"/>
                <c:pt idx="0">
                  <c:v>Middle age 31-54</c:v>
                </c:pt>
                <c:pt idx="1">
                  <c:v>Old 55+</c:v>
                </c:pt>
                <c:pt idx="2">
                  <c:v>adolescent 0-30</c:v>
                </c:pt>
              </c:strCache>
            </c:strRef>
          </c:cat>
          <c:val>
            <c:numRef>
              <c:f>'Pivot table '!$B$42:$B$45</c:f>
              <c:numCache>
                <c:formatCode>General</c:formatCode>
                <c:ptCount val="3"/>
                <c:pt idx="0">
                  <c:v>39</c:v>
                </c:pt>
                <c:pt idx="1">
                  <c:v>9</c:v>
                </c:pt>
                <c:pt idx="2">
                  <c:v>1</c:v>
                </c:pt>
              </c:numCache>
            </c:numRef>
          </c:val>
          <c:smooth val="0"/>
          <c:extLst>
            <c:ext xmlns:c16="http://schemas.microsoft.com/office/drawing/2014/chart" uri="{C3380CC4-5D6E-409C-BE32-E72D297353CC}">
              <c16:uniqueId val="{00000000-86A8-4B65-85EF-5FDFB6784E8B}"/>
            </c:ext>
          </c:extLst>
        </c:ser>
        <c:ser>
          <c:idx val="1"/>
          <c:order val="1"/>
          <c:tx>
            <c:strRef>
              <c:f>'Pivot table '!$C$40:$C$41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'!$A$42:$A$45</c:f>
              <c:strCache>
                <c:ptCount val="3"/>
                <c:pt idx="0">
                  <c:v>Middle age 31-54</c:v>
                </c:pt>
                <c:pt idx="1">
                  <c:v>Old 55+</c:v>
                </c:pt>
                <c:pt idx="2">
                  <c:v>adolescent 0-30</c:v>
                </c:pt>
              </c:strCache>
            </c:strRef>
          </c:cat>
          <c:val>
            <c:numRef>
              <c:f>'Pivot table '!$C$42:$C$45</c:f>
              <c:numCache>
                <c:formatCode>General</c:formatCode>
                <c:ptCount val="3"/>
                <c:pt idx="0">
                  <c:v>75</c:v>
                </c:pt>
                <c:pt idx="1">
                  <c:v>13</c:v>
                </c:pt>
                <c:pt idx="2">
                  <c:v>3</c:v>
                </c:pt>
              </c:numCache>
            </c:numRef>
          </c:val>
          <c:smooth val="0"/>
          <c:extLst>
            <c:ext xmlns:c16="http://schemas.microsoft.com/office/drawing/2014/chart" uri="{C3380CC4-5D6E-409C-BE32-E72D297353CC}">
              <c16:uniqueId val="{00000001-86A8-4B65-85EF-5FDFB6784E8B}"/>
            </c:ext>
          </c:extLst>
        </c:ser>
        <c:dLbls>
          <c:showLegendKey val="0"/>
          <c:showVal val="0"/>
          <c:showCatName val="0"/>
          <c:showSerName val="0"/>
          <c:showPercent val="0"/>
          <c:showBubbleSize val="0"/>
        </c:dLbls>
        <c:marker val="1"/>
        <c:smooth val="0"/>
        <c:axId val="317599296"/>
        <c:axId val="317596896"/>
      </c:lineChart>
      <c:catAx>
        <c:axId val="317599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7596896"/>
        <c:crosses val="autoZero"/>
        <c:auto val="1"/>
        <c:lblAlgn val="ctr"/>
        <c:lblOffset val="100"/>
        <c:noMultiLvlLbl val="0"/>
      </c:catAx>
      <c:valAx>
        <c:axId val="31759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759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 !PivotTable6</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'!$A$55:$A$90</c:f>
              <c:strCache>
                <c:ptCount val="35"/>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51</c:v>
                </c:pt>
                <c:pt idx="22">
                  <c:v>52</c:v>
                </c:pt>
                <c:pt idx="23">
                  <c:v>53</c:v>
                </c:pt>
                <c:pt idx="24">
                  <c:v>57</c:v>
                </c:pt>
                <c:pt idx="25">
                  <c:v>58</c:v>
                </c:pt>
                <c:pt idx="26">
                  <c:v>59</c:v>
                </c:pt>
                <c:pt idx="27">
                  <c:v>60</c:v>
                </c:pt>
                <c:pt idx="28">
                  <c:v>61</c:v>
                </c:pt>
                <c:pt idx="29">
                  <c:v>62</c:v>
                </c:pt>
                <c:pt idx="30">
                  <c:v>63</c:v>
                </c:pt>
                <c:pt idx="31">
                  <c:v>65</c:v>
                </c:pt>
                <c:pt idx="32">
                  <c:v>66</c:v>
                </c:pt>
                <c:pt idx="33">
                  <c:v>67</c:v>
                </c:pt>
                <c:pt idx="34">
                  <c:v>68</c:v>
                </c:pt>
              </c:strCache>
            </c:strRef>
          </c:cat>
          <c:val>
            <c:numRef>
              <c:f>'Pivot table '!$B$55:$B$90</c:f>
              <c:numCache>
                <c:formatCode>General</c:formatCode>
                <c:ptCount val="35"/>
                <c:pt idx="2">
                  <c:v>1</c:v>
                </c:pt>
                <c:pt idx="3">
                  <c:v>3</c:v>
                </c:pt>
                <c:pt idx="4">
                  <c:v>2</c:v>
                </c:pt>
                <c:pt idx="5">
                  <c:v>1</c:v>
                </c:pt>
                <c:pt idx="7">
                  <c:v>2</c:v>
                </c:pt>
                <c:pt idx="8">
                  <c:v>2</c:v>
                </c:pt>
                <c:pt idx="10">
                  <c:v>5</c:v>
                </c:pt>
                <c:pt idx="11">
                  <c:v>3</c:v>
                </c:pt>
                <c:pt idx="12">
                  <c:v>4</c:v>
                </c:pt>
                <c:pt idx="13">
                  <c:v>2</c:v>
                </c:pt>
                <c:pt idx="14">
                  <c:v>5</c:v>
                </c:pt>
                <c:pt idx="15">
                  <c:v>1</c:v>
                </c:pt>
                <c:pt idx="16">
                  <c:v>2</c:v>
                </c:pt>
                <c:pt idx="17">
                  <c:v>2</c:v>
                </c:pt>
                <c:pt idx="20">
                  <c:v>3</c:v>
                </c:pt>
                <c:pt idx="21">
                  <c:v>1</c:v>
                </c:pt>
                <c:pt idx="23">
                  <c:v>1</c:v>
                </c:pt>
                <c:pt idx="24">
                  <c:v>1</c:v>
                </c:pt>
                <c:pt idx="25">
                  <c:v>1</c:v>
                </c:pt>
                <c:pt idx="26">
                  <c:v>1</c:v>
                </c:pt>
                <c:pt idx="28">
                  <c:v>1</c:v>
                </c:pt>
                <c:pt idx="29">
                  <c:v>1</c:v>
                </c:pt>
                <c:pt idx="30">
                  <c:v>2</c:v>
                </c:pt>
                <c:pt idx="33">
                  <c:v>1</c:v>
                </c:pt>
                <c:pt idx="34">
                  <c:v>1</c:v>
                </c:pt>
              </c:numCache>
            </c:numRef>
          </c:val>
          <c:smooth val="0"/>
          <c:extLst>
            <c:ext xmlns:c16="http://schemas.microsoft.com/office/drawing/2014/chart" uri="{C3380CC4-5D6E-409C-BE32-E72D297353CC}">
              <c16:uniqueId val="{00000000-B3FE-4040-9E55-A902F4B508EB}"/>
            </c:ext>
          </c:extLst>
        </c:ser>
        <c:ser>
          <c:idx val="1"/>
          <c:order val="1"/>
          <c:tx>
            <c:strRef>
              <c:f>'Pivot table '!$C$53:$C$54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'!$A$55:$A$90</c:f>
              <c:strCache>
                <c:ptCount val="35"/>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51</c:v>
                </c:pt>
                <c:pt idx="22">
                  <c:v>52</c:v>
                </c:pt>
                <c:pt idx="23">
                  <c:v>53</c:v>
                </c:pt>
                <c:pt idx="24">
                  <c:v>57</c:v>
                </c:pt>
                <c:pt idx="25">
                  <c:v>58</c:v>
                </c:pt>
                <c:pt idx="26">
                  <c:v>59</c:v>
                </c:pt>
                <c:pt idx="27">
                  <c:v>60</c:v>
                </c:pt>
                <c:pt idx="28">
                  <c:v>61</c:v>
                </c:pt>
                <c:pt idx="29">
                  <c:v>62</c:v>
                </c:pt>
                <c:pt idx="30">
                  <c:v>63</c:v>
                </c:pt>
                <c:pt idx="31">
                  <c:v>65</c:v>
                </c:pt>
                <c:pt idx="32">
                  <c:v>66</c:v>
                </c:pt>
                <c:pt idx="33">
                  <c:v>67</c:v>
                </c:pt>
                <c:pt idx="34">
                  <c:v>68</c:v>
                </c:pt>
              </c:strCache>
            </c:strRef>
          </c:cat>
          <c:val>
            <c:numRef>
              <c:f>'Pivot table '!$C$55:$C$90</c:f>
              <c:numCache>
                <c:formatCode>General</c:formatCode>
                <c:ptCount val="35"/>
                <c:pt idx="0">
                  <c:v>1</c:v>
                </c:pt>
                <c:pt idx="1">
                  <c:v>1</c:v>
                </c:pt>
                <c:pt idx="2">
                  <c:v>1</c:v>
                </c:pt>
                <c:pt idx="3">
                  <c:v>1</c:v>
                </c:pt>
                <c:pt idx="5">
                  <c:v>1</c:v>
                </c:pt>
                <c:pt idx="6">
                  <c:v>2</c:v>
                </c:pt>
                <c:pt idx="7">
                  <c:v>1</c:v>
                </c:pt>
                <c:pt idx="8">
                  <c:v>4</c:v>
                </c:pt>
                <c:pt idx="9">
                  <c:v>10</c:v>
                </c:pt>
                <c:pt idx="10">
                  <c:v>13</c:v>
                </c:pt>
                <c:pt idx="11">
                  <c:v>7</c:v>
                </c:pt>
                <c:pt idx="12">
                  <c:v>5</c:v>
                </c:pt>
                <c:pt idx="13">
                  <c:v>9</c:v>
                </c:pt>
                <c:pt idx="14">
                  <c:v>5</c:v>
                </c:pt>
                <c:pt idx="15">
                  <c:v>5</c:v>
                </c:pt>
                <c:pt idx="16">
                  <c:v>2</c:v>
                </c:pt>
                <c:pt idx="17">
                  <c:v>1</c:v>
                </c:pt>
                <c:pt idx="18">
                  <c:v>2</c:v>
                </c:pt>
                <c:pt idx="19">
                  <c:v>5</c:v>
                </c:pt>
                <c:pt idx="22">
                  <c:v>1</c:v>
                </c:pt>
                <c:pt idx="23">
                  <c:v>1</c:v>
                </c:pt>
                <c:pt idx="25">
                  <c:v>1</c:v>
                </c:pt>
                <c:pt idx="26">
                  <c:v>3</c:v>
                </c:pt>
                <c:pt idx="27">
                  <c:v>2</c:v>
                </c:pt>
                <c:pt idx="29">
                  <c:v>2</c:v>
                </c:pt>
                <c:pt idx="30">
                  <c:v>1</c:v>
                </c:pt>
                <c:pt idx="31">
                  <c:v>2</c:v>
                </c:pt>
                <c:pt idx="32">
                  <c:v>2</c:v>
                </c:pt>
              </c:numCache>
            </c:numRef>
          </c:val>
          <c:smooth val="0"/>
          <c:extLst>
            <c:ext xmlns:c16="http://schemas.microsoft.com/office/drawing/2014/chart" uri="{C3380CC4-5D6E-409C-BE32-E72D297353CC}">
              <c16:uniqueId val="{00000001-B3FE-4040-9E55-A902F4B508EB}"/>
            </c:ext>
          </c:extLst>
        </c:ser>
        <c:dLbls>
          <c:showLegendKey val="0"/>
          <c:showVal val="0"/>
          <c:showCatName val="0"/>
          <c:showSerName val="0"/>
          <c:showPercent val="0"/>
          <c:showBubbleSize val="0"/>
        </c:dLbls>
        <c:marker val="1"/>
        <c:smooth val="0"/>
        <c:axId val="317621856"/>
        <c:axId val="317613216"/>
      </c:lineChart>
      <c:catAx>
        <c:axId val="31762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7613216"/>
        <c:crosses val="autoZero"/>
        <c:auto val="1"/>
        <c:lblAlgn val="ctr"/>
        <c:lblOffset val="100"/>
        <c:noMultiLvlLbl val="0"/>
      </c:catAx>
      <c:valAx>
        <c:axId val="31761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762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 !PivotTable2</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'!$B$3:$B$4</c:f>
              <c:strCache>
                <c:ptCount val="1"/>
                <c:pt idx="0">
                  <c:v>No</c:v>
                </c:pt>
              </c:strCache>
            </c:strRef>
          </c:tx>
          <c:spPr>
            <a:ln w="28575" cap="rnd">
              <a:solidFill>
                <a:schemeClr val="accent1"/>
              </a:solidFill>
              <a:round/>
            </a:ln>
            <a:effectLst/>
          </c:spPr>
          <c:marker>
            <c:symbol val="none"/>
          </c:marker>
          <c:cat>
            <c:strRef>
              <c:f>'Pivot table '!$A$5:$A$7</c:f>
              <c:strCache>
                <c:ptCount val="2"/>
                <c:pt idx="0">
                  <c:v>Female</c:v>
                </c:pt>
                <c:pt idx="1">
                  <c:v>Male</c:v>
                </c:pt>
              </c:strCache>
            </c:strRef>
          </c:cat>
          <c:val>
            <c:numRef>
              <c:f>'Pivot table '!$B$5:$B$7</c:f>
              <c:numCache>
                <c:formatCode>_-* #,##0_-;\-* #,##0_-;_-* "-"??_-;_-@_-</c:formatCode>
                <c:ptCount val="2"/>
                <c:pt idx="0">
                  <c:v>970000</c:v>
                </c:pt>
                <c:pt idx="1">
                  <c:v>580000</c:v>
                </c:pt>
              </c:numCache>
            </c:numRef>
          </c:val>
          <c:smooth val="0"/>
          <c:extLst>
            <c:ext xmlns:c16="http://schemas.microsoft.com/office/drawing/2014/chart" uri="{C3380CC4-5D6E-409C-BE32-E72D297353CC}">
              <c16:uniqueId val="{00000000-E755-414C-B872-D477F3053E20}"/>
            </c:ext>
          </c:extLst>
        </c:ser>
        <c:ser>
          <c:idx val="1"/>
          <c:order val="1"/>
          <c:tx>
            <c:strRef>
              <c:f>'Pivot table '!$C$3:$C$4</c:f>
              <c:strCache>
                <c:ptCount val="1"/>
                <c:pt idx="0">
                  <c:v>Yes</c:v>
                </c:pt>
              </c:strCache>
            </c:strRef>
          </c:tx>
          <c:spPr>
            <a:ln w="28575" cap="rnd">
              <a:solidFill>
                <a:schemeClr val="accent2"/>
              </a:solidFill>
              <a:round/>
            </a:ln>
            <a:effectLst/>
          </c:spPr>
          <c:marker>
            <c:symbol val="none"/>
          </c:marker>
          <c:cat>
            <c:strRef>
              <c:f>'Pivot table '!$A$5:$A$7</c:f>
              <c:strCache>
                <c:ptCount val="2"/>
                <c:pt idx="0">
                  <c:v>Female</c:v>
                </c:pt>
                <c:pt idx="1">
                  <c:v>Male</c:v>
                </c:pt>
              </c:strCache>
            </c:strRef>
          </c:cat>
          <c:val>
            <c:numRef>
              <c:f>'Pivot table '!$C$5:$C$7</c:f>
              <c:numCache>
                <c:formatCode>_-* #,##0_-;\-* #,##0_-;_-* "-"??_-;_-@_-</c:formatCode>
                <c:ptCount val="2"/>
                <c:pt idx="0">
                  <c:v>660000</c:v>
                </c:pt>
                <c:pt idx="1">
                  <c:v>1330000</c:v>
                </c:pt>
              </c:numCache>
            </c:numRef>
          </c:val>
          <c:smooth val="0"/>
          <c:extLst>
            <c:ext xmlns:c16="http://schemas.microsoft.com/office/drawing/2014/chart" uri="{C3380CC4-5D6E-409C-BE32-E72D297353CC}">
              <c16:uniqueId val="{00000001-E755-414C-B872-D477F3053E20}"/>
            </c:ext>
          </c:extLst>
        </c:ser>
        <c:dLbls>
          <c:showLegendKey val="0"/>
          <c:showVal val="0"/>
          <c:showCatName val="0"/>
          <c:showSerName val="0"/>
          <c:showPercent val="0"/>
          <c:showBubbleSize val="0"/>
        </c:dLbls>
        <c:smooth val="0"/>
        <c:axId val="2096142592"/>
        <c:axId val="2096155072"/>
      </c:lineChart>
      <c:catAx>
        <c:axId val="209614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96155072"/>
        <c:crosses val="autoZero"/>
        <c:auto val="1"/>
        <c:lblAlgn val="ctr"/>
        <c:lblOffset val="100"/>
        <c:noMultiLvlLbl val="0"/>
      </c:catAx>
      <c:valAx>
        <c:axId val="209615507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9614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 !PivotTable4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Bike Purchases by Commute Distance</a:t>
            </a:r>
            <a:r>
              <a:rPr lang="en-US"/>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 '!$A$22:$A$27</c:f>
              <c:strCache>
                <c:ptCount val="5"/>
                <c:pt idx="0">
                  <c:v>0-1 Miles</c:v>
                </c:pt>
                <c:pt idx="1">
                  <c:v>1-2 Miles</c:v>
                </c:pt>
                <c:pt idx="2">
                  <c:v>2-5 Miles</c:v>
                </c:pt>
                <c:pt idx="3">
                  <c:v>5-10 Miles</c:v>
                </c:pt>
                <c:pt idx="4">
                  <c:v>more than 10 Miles</c:v>
                </c:pt>
              </c:strCache>
            </c:strRef>
          </c:cat>
          <c:val>
            <c:numRef>
              <c:f>'Pivot table '!$B$22:$B$27</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38F6-4F60-9C15-0FA79AF290F1}"/>
            </c:ext>
          </c:extLst>
        </c:ser>
        <c:ser>
          <c:idx val="1"/>
          <c:order val="1"/>
          <c:tx>
            <c:strRef>
              <c:f>'Pivot table '!$C$20:$C$21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 '!$A$22:$A$27</c:f>
              <c:strCache>
                <c:ptCount val="5"/>
                <c:pt idx="0">
                  <c:v>0-1 Miles</c:v>
                </c:pt>
                <c:pt idx="1">
                  <c:v>1-2 Miles</c:v>
                </c:pt>
                <c:pt idx="2">
                  <c:v>2-5 Miles</c:v>
                </c:pt>
                <c:pt idx="3">
                  <c:v>5-10 Miles</c:v>
                </c:pt>
                <c:pt idx="4">
                  <c:v>more than 10 Miles</c:v>
                </c:pt>
              </c:strCache>
            </c:strRef>
          </c:cat>
          <c:val>
            <c:numRef>
              <c:f>'Pivot table '!$C$22:$C$27</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38F6-4F60-9C15-0FA79AF290F1}"/>
            </c:ext>
          </c:extLst>
        </c:ser>
        <c:dLbls>
          <c:showLegendKey val="0"/>
          <c:showVal val="0"/>
          <c:showCatName val="0"/>
          <c:showSerName val="0"/>
          <c:showPercent val="0"/>
          <c:showBubbleSize val="0"/>
        </c:dLbls>
        <c:marker val="1"/>
        <c:smooth val="0"/>
        <c:axId val="2096143552"/>
        <c:axId val="2096138272"/>
      </c:lineChart>
      <c:catAx>
        <c:axId val="20961435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DE"/>
          </a:p>
        </c:txPr>
        <c:crossAx val="2096138272"/>
        <c:crosses val="autoZero"/>
        <c:auto val="1"/>
        <c:lblAlgn val="ctr"/>
        <c:lblOffset val="100"/>
        <c:noMultiLvlLbl val="0"/>
      </c:catAx>
      <c:valAx>
        <c:axId val="20961382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DE"/>
          </a:p>
        </c:txPr>
        <c:crossAx val="209614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 !PivotTable5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Bike Purchase Distribution by Age Group</a:t>
            </a:r>
            <a:endParaRPr lang="en-US" b="1"/>
          </a:p>
        </c:rich>
      </c:tx>
      <c:layout>
        <c:manualLayout>
          <c:xMode val="edge"/>
          <c:yMode val="edge"/>
          <c:x val="0.10843807426309536"/>
          <c:y val="0.1167012956552827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'!$A$42:$A$45</c:f>
              <c:strCache>
                <c:ptCount val="3"/>
                <c:pt idx="0">
                  <c:v>Middle age 31-54</c:v>
                </c:pt>
                <c:pt idx="1">
                  <c:v>Old 55+</c:v>
                </c:pt>
                <c:pt idx="2">
                  <c:v>adolescent 0-30</c:v>
                </c:pt>
              </c:strCache>
            </c:strRef>
          </c:cat>
          <c:val>
            <c:numRef>
              <c:f>'Pivot table '!$B$42:$B$45</c:f>
              <c:numCache>
                <c:formatCode>General</c:formatCode>
                <c:ptCount val="3"/>
                <c:pt idx="0">
                  <c:v>39</c:v>
                </c:pt>
                <c:pt idx="1">
                  <c:v>9</c:v>
                </c:pt>
                <c:pt idx="2">
                  <c:v>1</c:v>
                </c:pt>
              </c:numCache>
            </c:numRef>
          </c:val>
          <c:smooth val="0"/>
          <c:extLst>
            <c:ext xmlns:c16="http://schemas.microsoft.com/office/drawing/2014/chart" uri="{C3380CC4-5D6E-409C-BE32-E72D297353CC}">
              <c16:uniqueId val="{00000000-239E-4995-808E-2DE1010B095A}"/>
            </c:ext>
          </c:extLst>
        </c:ser>
        <c:ser>
          <c:idx val="1"/>
          <c:order val="1"/>
          <c:tx>
            <c:strRef>
              <c:f>'Pivot table '!$C$40:$C$41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'!$A$42:$A$45</c:f>
              <c:strCache>
                <c:ptCount val="3"/>
                <c:pt idx="0">
                  <c:v>Middle age 31-54</c:v>
                </c:pt>
                <c:pt idx="1">
                  <c:v>Old 55+</c:v>
                </c:pt>
                <c:pt idx="2">
                  <c:v>adolescent 0-30</c:v>
                </c:pt>
              </c:strCache>
            </c:strRef>
          </c:cat>
          <c:val>
            <c:numRef>
              <c:f>'Pivot table '!$C$42:$C$45</c:f>
              <c:numCache>
                <c:formatCode>General</c:formatCode>
                <c:ptCount val="3"/>
                <c:pt idx="0">
                  <c:v>75</c:v>
                </c:pt>
                <c:pt idx="1">
                  <c:v>13</c:v>
                </c:pt>
                <c:pt idx="2">
                  <c:v>3</c:v>
                </c:pt>
              </c:numCache>
            </c:numRef>
          </c:val>
          <c:smooth val="0"/>
          <c:extLst>
            <c:ext xmlns:c16="http://schemas.microsoft.com/office/drawing/2014/chart" uri="{C3380CC4-5D6E-409C-BE32-E72D297353CC}">
              <c16:uniqueId val="{00000001-239E-4995-808E-2DE1010B095A}"/>
            </c:ext>
          </c:extLst>
        </c:ser>
        <c:dLbls>
          <c:showLegendKey val="0"/>
          <c:showVal val="0"/>
          <c:showCatName val="0"/>
          <c:showSerName val="0"/>
          <c:showPercent val="0"/>
          <c:showBubbleSize val="0"/>
        </c:dLbls>
        <c:marker val="1"/>
        <c:smooth val="0"/>
        <c:axId val="317599296"/>
        <c:axId val="317596896"/>
      </c:lineChart>
      <c:catAx>
        <c:axId val="317599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7596896"/>
        <c:crosses val="autoZero"/>
        <c:auto val="1"/>
        <c:lblAlgn val="ctr"/>
        <c:lblOffset val="100"/>
        <c:noMultiLvlLbl val="0"/>
      </c:catAx>
      <c:valAx>
        <c:axId val="31759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759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 !PivotTable2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a:t>
            </a:r>
            <a:endParaRPr lang="en-US" b="1"/>
          </a:p>
        </c:rich>
      </c:tx>
      <c:layout>
        <c:manualLayout>
          <c:xMode val="edge"/>
          <c:yMode val="edge"/>
          <c:x val="0.24237142867007924"/>
          <c:y val="0.1212281938068468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'!$B$3:$B$4</c:f>
              <c:strCache>
                <c:ptCount val="1"/>
                <c:pt idx="0">
                  <c:v>No</c:v>
                </c:pt>
              </c:strCache>
            </c:strRef>
          </c:tx>
          <c:spPr>
            <a:solidFill>
              <a:schemeClr val="accent1"/>
            </a:solidFill>
            <a:ln>
              <a:noFill/>
            </a:ln>
            <a:effectLst/>
          </c:spPr>
          <c:invertIfNegative val="0"/>
          <c:cat>
            <c:strRef>
              <c:f>'Pivot table '!$A$5:$A$7</c:f>
              <c:strCache>
                <c:ptCount val="2"/>
                <c:pt idx="0">
                  <c:v>Female</c:v>
                </c:pt>
                <c:pt idx="1">
                  <c:v>Male</c:v>
                </c:pt>
              </c:strCache>
            </c:strRef>
          </c:cat>
          <c:val>
            <c:numRef>
              <c:f>'Pivot table '!$B$5:$B$7</c:f>
              <c:numCache>
                <c:formatCode>_-* #,##0_-;\-* #,##0_-;_-* "-"??_-;_-@_-</c:formatCode>
                <c:ptCount val="2"/>
                <c:pt idx="0">
                  <c:v>970000</c:v>
                </c:pt>
                <c:pt idx="1">
                  <c:v>580000</c:v>
                </c:pt>
              </c:numCache>
            </c:numRef>
          </c:val>
          <c:extLst>
            <c:ext xmlns:c16="http://schemas.microsoft.com/office/drawing/2014/chart" uri="{C3380CC4-5D6E-409C-BE32-E72D297353CC}">
              <c16:uniqueId val="{00000000-BAF7-41B8-B165-CE0FA637ADDA}"/>
            </c:ext>
          </c:extLst>
        </c:ser>
        <c:ser>
          <c:idx val="1"/>
          <c:order val="1"/>
          <c:tx>
            <c:strRef>
              <c:f>'Pivot table '!$C$3:$C$4</c:f>
              <c:strCache>
                <c:ptCount val="1"/>
                <c:pt idx="0">
                  <c:v>Yes</c:v>
                </c:pt>
              </c:strCache>
            </c:strRef>
          </c:tx>
          <c:spPr>
            <a:solidFill>
              <a:schemeClr val="accent2"/>
            </a:solidFill>
            <a:ln>
              <a:noFill/>
            </a:ln>
            <a:effectLst/>
          </c:spPr>
          <c:invertIfNegative val="0"/>
          <c:cat>
            <c:strRef>
              <c:f>'Pivot table '!$A$5:$A$7</c:f>
              <c:strCache>
                <c:ptCount val="2"/>
                <c:pt idx="0">
                  <c:v>Female</c:v>
                </c:pt>
                <c:pt idx="1">
                  <c:v>Male</c:v>
                </c:pt>
              </c:strCache>
            </c:strRef>
          </c:cat>
          <c:val>
            <c:numRef>
              <c:f>'Pivot table '!$C$5:$C$7</c:f>
              <c:numCache>
                <c:formatCode>_-* #,##0_-;\-* #,##0_-;_-* "-"??_-;_-@_-</c:formatCode>
                <c:ptCount val="2"/>
                <c:pt idx="0">
                  <c:v>660000</c:v>
                </c:pt>
                <c:pt idx="1">
                  <c:v>1330000</c:v>
                </c:pt>
              </c:numCache>
            </c:numRef>
          </c:val>
          <c:extLst>
            <c:ext xmlns:c16="http://schemas.microsoft.com/office/drawing/2014/chart" uri="{C3380CC4-5D6E-409C-BE32-E72D297353CC}">
              <c16:uniqueId val="{00000001-BAF7-41B8-B165-CE0FA637ADDA}"/>
            </c:ext>
          </c:extLst>
        </c:ser>
        <c:dLbls>
          <c:showLegendKey val="0"/>
          <c:showVal val="0"/>
          <c:showCatName val="0"/>
          <c:showSerName val="0"/>
          <c:showPercent val="0"/>
          <c:showBubbleSize val="0"/>
        </c:dLbls>
        <c:gapWidth val="219"/>
        <c:overlap val="-27"/>
        <c:axId val="2096136352"/>
        <c:axId val="2096150272"/>
      </c:barChart>
      <c:catAx>
        <c:axId val="209613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96150272"/>
        <c:crosses val="autoZero"/>
        <c:auto val="1"/>
        <c:lblAlgn val="ctr"/>
        <c:lblOffset val="100"/>
        <c:noMultiLvlLbl val="0"/>
      </c:catAx>
      <c:valAx>
        <c:axId val="2096150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96136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D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512900</xdr:colOff>
      <xdr:row>0</xdr:row>
      <xdr:rowOff>30594</xdr:rowOff>
    </xdr:from>
    <xdr:to>
      <xdr:col>13</xdr:col>
      <xdr:colOff>18143</xdr:colOff>
      <xdr:row>15</xdr:row>
      <xdr:rowOff>11544</xdr:rowOff>
    </xdr:to>
    <xdr:graphicFrame macro="">
      <xdr:nvGraphicFramePr>
        <xdr:cNvPr id="4" name="Chart 3">
          <a:extLst>
            <a:ext uri="{FF2B5EF4-FFF2-40B4-BE49-F238E27FC236}">
              <a16:creationId xmlns:a16="http://schemas.microsoft.com/office/drawing/2014/main" id="{C797FD79-55D7-50B4-B23F-99EB0D590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598716</xdr:colOff>
      <xdr:row>16</xdr:row>
      <xdr:rowOff>139700</xdr:rowOff>
    </xdr:from>
    <xdr:to>
      <xdr:col>13</xdr:col>
      <xdr:colOff>18144</xdr:colOff>
      <xdr:row>31</xdr:row>
      <xdr:rowOff>123371</xdr:rowOff>
    </xdr:to>
    <xdr:graphicFrame macro="">
      <xdr:nvGraphicFramePr>
        <xdr:cNvPr id="5" name="Chart 4">
          <a:extLst>
            <a:ext uri="{FF2B5EF4-FFF2-40B4-BE49-F238E27FC236}">
              <a16:creationId xmlns:a16="http://schemas.microsoft.com/office/drawing/2014/main" id="{1F8BA809-4DF6-74C1-5D7B-7A6B13471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606159</xdr:colOff>
      <xdr:row>34</xdr:row>
      <xdr:rowOff>87879</xdr:rowOff>
    </xdr:from>
    <xdr:to>
      <xdr:col>13</xdr:col>
      <xdr:colOff>18142</xdr:colOff>
      <xdr:row>49</xdr:row>
      <xdr:rowOff>68829</xdr:rowOff>
    </xdr:to>
    <xdr:graphicFrame macro="">
      <xdr:nvGraphicFramePr>
        <xdr:cNvPr id="6" name="Chart 5">
          <a:extLst>
            <a:ext uri="{FF2B5EF4-FFF2-40B4-BE49-F238E27FC236}">
              <a16:creationId xmlns:a16="http://schemas.microsoft.com/office/drawing/2014/main" id="{2A117221-F2D3-7778-B1C7-496BED3A7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3969</xdr:colOff>
      <xdr:row>51</xdr:row>
      <xdr:rowOff>160431</xdr:rowOff>
    </xdr:from>
    <xdr:to>
      <xdr:col>12</xdr:col>
      <xdr:colOff>589643</xdr:colOff>
      <xdr:row>66</xdr:row>
      <xdr:rowOff>125506</xdr:rowOff>
    </xdr:to>
    <xdr:graphicFrame macro="">
      <xdr:nvGraphicFramePr>
        <xdr:cNvPr id="7" name="Chart 6">
          <a:extLst>
            <a:ext uri="{FF2B5EF4-FFF2-40B4-BE49-F238E27FC236}">
              <a16:creationId xmlns:a16="http://schemas.microsoft.com/office/drawing/2014/main" id="{BADF983D-3368-2B9B-0EA4-F1F8DD59B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17965</xdr:colOff>
      <xdr:row>0</xdr:row>
      <xdr:rowOff>0</xdr:rowOff>
    </xdr:from>
    <xdr:to>
      <xdr:col>22</xdr:col>
      <xdr:colOff>36286</xdr:colOff>
      <xdr:row>14</xdr:row>
      <xdr:rowOff>163286</xdr:rowOff>
    </xdr:to>
    <xdr:graphicFrame macro="">
      <xdr:nvGraphicFramePr>
        <xdr:cNvPr id="8" name="Chart 7">
          <a:extLst>
            <a:ext uri="{FF2B5EF4-FFF2-40B4-BE49-F238E27FC236}">
              <a16:creationId xmlns:a16="http://schemas.microsoft.com/office/drawing/2014/main" id="{E9A137AC-F7A4-33F6-F27E-0A089993E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345353</xdr:colOff>
      <xdr:row>25</xdr:row>
      <xdr:rowOff>22281</xdr:rowOff>
    </xdr:from>
    <xdr:to>
      <xdr:col>14</xdr:col>
      <xdr:colOff>577274</xdr:colOff>
      <xdr:row>39</xdr:row>
      <xdr:rowOff>150090</xdr:rowOff>
    </xdr:to>
    <xdr:graphicFrame macro="">
      <xdr:nvGraphicFramePr>
        <xdr:cNvPr id="4" name="Chart 3">
          <a:extLst>
            <a:ext uri="{FF2B5EF4-FFF2-40B4-BE49-F238E27FC236}">
              <a16:creationId xmlns:a16="http://schemas.microsoft.com/office/drawing/2014/main" id="{10039CBC-7878-469A-9384-E95F6DB95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501315</xdr:colOff>
      <xdr:row>10</xdr:row>
      <xdr:rowOff>55702</xdr:rowOff>
    </xdr:from>
    <xdr:to>
      <xdr:col>14</xdr:col>
      <xdr:colOff>590438</xdr:colOff>
      <xdr:row>25</xdr:row>
      <xdr:rowOff>33421</xdr:rowOff>
    </xdr:to>
    <xdr:graphicFrame macro="">
      <xdr:nvGraphicFramePr>
        <xdr:cNvPr id="5" name="Chart 4">
          <a:extLst>
            <a:ext uri="{FF2B5EF4-FFF2-40B4-BE49-F238E27FC236}">
              <a16:creationId xmlns:a16="http://schemas.microsoft.com/office/drawing/2014/main" id="{DEBAB349-DF41-4B79-A1A6-7071A7045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345353</xdr:colOff>
      <xdr:row>10</xdr:row>
      <xdr:rowOff>61968</xdr:rowOff>
    </xdr:from>
    <xdr:to>
      <xdr:col>8</xdr:col>
      <xdr:colOff>479036</xdr:colOff>
      <xdr:row>25</xdr:row>
      <xdr:rowOff>39687</xdr:rowOff>
    </xdr:to>
    <xdr:graphicFrame macro="">
      <xdr:nvGraphicFramePr>
        <xdr:cNvPr id="6" name="Chart 5">
          <a:extLst>
            <a:ext uri="{FF2B5EF4-FFF2-40B4-BE49-F238E27FC236}">
              <a16:creationId xmlns:a16="http://schemas.microsoft.com/office/drawing/2014/main" id="{2659BFED-EB62-47ED-B6FF-1269804DF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10</xdr:row>
      <xdr:rowOff>48906</xdr:rowOff>
    </xdr:from>
    <xdr:to>
      <xdr:col>2</xdr:col>
      <xdr:colOff>323070</xdr:colOff>
      <xdr:row>15</xdr:row>
      <xdr:rowOff>167105</xdr:rowOff>
    </xdr:to>
    <mc:AlternateContent xmlns:mc="http://schemas.openxmlformats.org/markup-compatibility/2006" xmlns:a14="http://schemas.microsoft.com/office/drawing/2010/main">
      <mc:Choice Requires="a14">
        <xdr:graphicFrame macro="">
          <xdr:nvGraphicFramePr>
            <xdr:cNvPr id="9" name="Marital Status">
              <a:extLst>
                <a:ext uri="{FF2B5EF4-FFF2-40B4-BE49-F238E27FC236}">
                  <a16:creationId xmlns:a16="http://schemas.microsoft.com/office/drawing/2014/main" id="{1D42500B-B312-D889-41F9-1845584E2D7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85222"/>
              <a:ext cx="1548509" cy="1065129"/>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141818</xdr:rowOff>
    </xdr:from>
    <xdr:to>
      <xdr:col>2</xdr:col>
      <xdr:colOff>300789</xdr:colOff>
      <xdr:row>31</xdr:row>
      <xdr:rowOff>155966</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2EAA126F-489D-1B4F-8D03-DD7F14EDE35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550765"/>
              <a:ext cx="1526228" cy="1718622"/>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5347</xdr:rowOff>
    </xdr:from>
    <xdr:to>
      <xdr:col>2</xdr:col>
      <xdr:colOff>311929</xdr:colOff>
      <xdr:row>22</xdr:row>
      <xdr:rowOff>144824</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A4CE0E5D-245E-DB3A-BAE3-54E20633CA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277979"/>
              <a:ext cx="1537368" cy="1275793"/>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141460</xdr:rowOff>
    </xdr:from>
    <xdr:to>
      <xdr:col>3</xdr:col>
      <xdr:colOff>263071</xdr:colOff>
      <xdr:row>10</xdr:row>
      <xdr:rowOff>72571</xdr:rowOff>
    </xdr:to>
    <xdr:sp macro="" textlink="">
      <xdr:nvSpPr>
        <xdr:cNvPr id="2" name="Rectangle: Rounded Corners 1">
          <a:extLst>
            <a:ext uri="{FF2B5EF4-FFF2-40B4-BE49-F238E27FC236}">
              <a16:creationId xmlns:a16="http://schemas.microsoft.com/office/drawing/2014/main" id="{31EE275F-85B9-0EBF-B99E-6E5735D00DC2}"/>
            </a:ext>
          </a:extLst>
        </xdr:cNvPr>
        <xdr:cNvSpPr/>
      </xdr:nvSpPr>
      <xdr:spPr>
        <a:xfrm>
          <a:off x="0" y="1048603"/>
          <a:ext cx="2086428" cy="838254"/>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 Customers</a:t>
          </a:r>
          <a:endParaRPr lang="en-DE" sz="1400" kern="1200"/>
        </a:p>
      </xdr:txBody>
    </xdr:sp>
    <xdr:clientData/>
  </xdr:twoCellAnchor>
  <xdr:twoCellAnchor>
    <xdr:from>
      <xdr:col>0</xdr:col>
      <xdr:colOff>465515</xdr:colOff>
      <xdr:row>7</xdr:row>
      <xdr:rowOff>144576</xdr:rowOff>
    </xdr:from>
    <xdr:to>
      <xdr:col>2</xdr:col>
      <xdr:colOff>426358</xdr:colOff>
      <xdr:row>9</xdr:row>
      <xdr:rowOff>63500</xdr:rowOff>
    </xdr:to>
    <xdr:sp macro="" textlink="KPI_calculation!B2">
      <xdr:nvSpPr>
        <xdr:cNvPr id="3" name="TextBox 2">
          <a:extLst>
            <a:ext uri="{FF2B5EF4-FFF2-40B4-BE49-F238E27FC236}">
              <a16:creationId xmlns:a16="http://schemas.microsoft.com/office/drawing/2014/main" id="{E8ABCAEB-2067-11E2-ED1D-79B47DDD209F}"/>
            </a:ext>
          </a:extLst>
        </xdr:cNvPr>
        <xdr:cNvSpPr txBox="1"/>
      </xdr:nvSpPr>
      <xdr:spPr>
        <a:xfrm>
          <a:off x="465515" y="1414576"/>
          <a:ext cx="1176414" cy="281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AD3FBAD-F2EC-42F8-981D-B6FBB1B6569C}" type="TxLink">
            <a:rPr lang="en-US" sz="1200" b="0" i="0" u="none" strike="noStrike" kern="1200">
              <a:solidFill>
                <a:srgbClr val="000000"/>
              </a:solidFill>
              <a:latin typeface="Calibri"/>
              <a:ea typeface="Calibri"/>
              <a:cs typeface="Calibri"/>
            </a:rPr>
            <a:pPr algn="ctr"/>
            <a:t>1000</a:t>
          </a:fld>
          <a:endParaRPr lang="en-DE" sz="1200" kern="1200"/>
        </a:p>
      </xdr:txBody>
    </xdr:sp>
    <xdr:clientData/>
  </xdr:twoCellAnchor>
  <xdr:twoCellAnchor>
    <xdr:from>
      <xdr:col>3</xdr:col>
      <xdr:colOff>326572</xdr:colOff>
      <xdr:row>5</xdr:row>
      <xdr:rowOff>163680</xdr:rowOff>
    </xdr:from>
    <xdr:to>
      <xdr:col>7</xdr:col>
      <xdr:colOff>54429</xdr:colOff>
      <xdr:row>10</xdr:row>
      <xdr:rowOff>45357</xdr:rowOff>
    </xdr:to>
    <xdr:sp macro="" textlink="">
      <xdr:nvSpPr>
        <xdr:cNvPr id="7" name="Rectangle: Rounded Corners 6">
          <a:extLst>
            <a:ext uri="{FF2B5EF4-FFF2-40B4-BE49-F238E27FC236}">
              <a16:creationId xmlns:a16="http://schemas.microsoft.com/office/drawing/2014/main" id="{A08DF513-6B8E-FAAF-A006-2BEFBD7F0963}"/>
            </a:ext>
          </a:extLst>
        </xdr:cNvPr>
        <xdr:cNvSpPr/>
      </xdr:nvSpPr>
      <xdr:spPr>
        <a:xfrm>
          <a:off x="2149929" y="1070823"/>
          <a:ext cx="2159000" cy="788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kern="1200"/>
            <a:t>Bike</a:t>
          </a:r>
          <a:r>
            <a:rPr lang="en-US" sz="1400" kern="1200" baseline="0"/>
            <a:t> Purchased</a:t>
          </a:r>
          <a:endParaRPr lang="en-DE" sz="1400" kern="1200"/>
        </a:p>
      </xdr:txBody>
    </xdr:sp>
    <xdr:clientData/>
  </xdr:twoCellAnchor>
  <xdr:twoCellAnchor>
    <xdr:from>
      <xdr:col>4</xdr:col>
      <xdr:colOff>250057</xdr:colOff>
      <xdr:row>7</xdr:row>
      <xdr:rowOff>175513</xdr:rowOff>
    </xdr:from>
    <xdr:to>
      <xdr:col>6</xdr:col>
      <xdr:colOff>163286</xdr:colOff>
      <xdr:row>9</xdr:row>
      <xdr:rowOff>63500</xdr:rowOff>
    </xdr:to>
    <xdr:sp macro="" textlink="KPI_calculation!B3">
      <xdr:nvSpPr>
        <xdr:cNvPr id="8" name="TextBox 7">
          <a:extLst>
            <a:ext uri="{FF2B5EF4-FFF2-40B4-BE49-F238E27FC236}">
              <a16:creationId xmlns:a16="http://schemas.microsoft.com/office/drawing/2014/main" id="{EAD4423D-7531-3963-6580-F7B587418AAA}"/>
            </a:ext>
          </a:extLst>
        </xdr:cNvPr>
        <xdr:cNvSpPr txBox="1"/>
      </xdr:nvSpPr>
      <xdr:spPr>
        <a:xfrm>
          <a:off x="2681200" y="1445513"/>
          <a:ext cx="1128800" cy="2508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B1128E-EEC4-4CA3-86AF-3C085E9F081A}" type="TxLink">
            <a:rPr lang="en-US" sz="1100" b="0" i="0" u="none" strike="noStrike" kern="1200">
              <a:solidFill>
                <a:srgbClr val="000000"/>
              </a:solidFill>
              <a:latin typeface="Calibri"/>
              <a:ea typeface="Calibri"/>
              <a:cs typeface="Calibri"/>
            </a:rPr>
            <a:pPr algn="ctr"/>
            <a:t>481</a:t>
          </a:fld>
          <a:endParaRPr lang="en-DE" sz="1100" kern="1200"/>
        </a:p>
      </xdr:txBody>
    </xdr:sp>
    <xdr:clientData/>
  </xdr:twoCellAnchor>
  <xdr:twoCellAnchor>
    <xdr:from>
      <xdr:col>7</xdr:col>
      <xdr:colOff>163287</xdr:colOff>
      <xdr:row>5</xdr:row>
      <xdr:rowOff>170385</xdr:rowOff>
    </xdr:from>
    <xdr:to>
      <xdr:col>10</xdr:col>
      <xdr:colOff>480786</xdr:colOff>
      <xdr:row>10</xdr:row>
      <xdr:rowOff>54428</xdr:rowOff>
    </xdr:to>
    <xdr:sp macro="" textlink="">
      <xdr:nvSpPr>
        <xdr:cNvPr id="12" name="Rectangle: Rounded Corners 11">
          <a:extLst>
            <a:ext uri="{FF2B5EF4-FFF2-40B4-BE49-F238E27FC236}">
              <a16:creationId xmlns:a16="http://schemas.microsoft.com/office/drawing/2014/main" id="{84EDD54A-B157-F5BA-237E-6C1873F77638}"/>
            </a:ext>
          </a:extLst>
        </xdr:cNvPr>
        <xdr:cNvSpPr/>
      </xdr:nvSpPr>
      <xdr:spPr>
        <a:xfrm>
          <a:off x="4417787" y="1077528"/>
          <a:ext cx="2140856" cy="7911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kern="1200"/>
            <a:t>Purchased</a:t>
          </a:r>
          <a:r>
            <a:rPr lang="en-US" sz="1400" kern="1200" baseline="0"/>
            <a:t> Rate %</a:t>
          </a:r>
          <a:endParaRPr lang="en-DE" sz="1400" kern="1200"/>
        </a:p>
      </xdr:txBody>
    </xdr:sp>
    <xdr:clientData/>
  </xdr:twoCellAnchor>
  <xdr:twoCellAnchor>
    <xdr:from>
      <xdr:col>7</xdr:col>
      <xdr:colOff>598715</xdr:colOff>
      <xdr:row>7</xdr:row>
      <xdr:rowOff>127789</xdr:rowOff>
    </xdr:from>
    <xdr:to>
      <xdr:col>10</xdr:col>
      <xdr:colOff>72572</xdr:colOff>
      <xdr:row>9</xdr:row>
      <xdr:rowOff>54429</xdr:rowOff>
    </xdr:to>
    <xdr:sp macro="" textlink="KPI_calculation!B4">
      <xdr:nvSpPr>
        <xdr:cNvPr id="14" name="TextBox 13">
          <a:extLst>
            <a:ext uri="{FF2B5EF4-FFF2-40B4-BE49-F238E27FC236}">
              <a16:creationId xmlns:a16="http://schemas.microsoft.com/office/drawing/2014/main" id="{52FF0DD6-F693-7E1B-327D-A964350006EB}"/>
            </a:ext>
          </a:extLst>
        </xdr:cNvPr>
        <xdr:cNvSpPr txBox="1"/>
      </xdr:nvSpPr>
      <xdr:spPr>
        <a:xfrm>
          <a:off x="4853215" y="1397789"/>
          <a:ext cx="1297214" cy="2894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B01BE3-6E3E-4A9C-B29D-6BE2D00B7609}" type="TxLink">
            <a:rPr lang="en-US" sz="1100" b="0" i="0" u="none" strike="noStrike" kern="1200">
              <a:solidFill>
                <a:srgbClr val="000000"/>
              </a:solidFill>
              <a:latin typeface="Calibri"/>
              <a:ea typeface="Calibri"/>
              <a:cs typeface="Calibri"/>
            </a:rPr>
            <a:pPr algn="ctr"/>
            <a:t>48%</a:t>
          </a:fld>
          <a:endParaRPr lang="en-DE" sz="1100" kern="1200"/>
        </a:p>
      </xdr:txBody>
    </xdr:sp>
    <xdr:clientData/>
  </xdr:twoCellAnchor>
  <xdr:twoCellAnchor>
    <xdr:from>
      <xdr:col>10</xdr:col>
      <xdr:colOff>580573</xdr:colOff>
      <xdr:row>5</xdr:row>
      <xdr:rowOff>171568</xdr:rowOff>
    </xdr:from>
    <xdr:to>
      <xdr:col>15</xdr:col>
      <xdr:colOff>7496</xdr:colOff>
      <xdr:row>9</xdr:row>
      <xdr:rowOff>171569</xdr:rowOff>
    </xdr:to>
    <xdr:sp macro="" textlink="">
      <xdr:nvSpPr>
        <xdr:cNvPr id="16" name="Rectangle: Rounded Corners 15">
          <a:extLst>
            <a:ext uri="{FF2B5EF4-FFF2-40B4-BE49-F238E27FC236}">
              <a16:creationId xmlns:a16="http://schemas.microsoft.com/office/drawing/2014/main" id="{73652505-B590-95A6-FE49-C741CCC95A57}"/>
            </a:ext>
          </a:extLst>
        </xdr:cNvPr>
        <xdr:cNvSpPr/>
      </xdr:nvSpPr>
      <xdr:spPr>
        <a:xfrm>
          <a:off x="6658430" y="1078711"/>
          <a:ext cx="2465852" cy="7257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kern="1200"/>
            <a:t>Average Income</a:t>
          </a:r>
          <a:endParaRPr lang="en-DE" sz="1400" kern="1200"/>
        </a:p>
      </xdr:txBody>
    </xdr:sp>
    <xdr:clientData/>
  </xdr:twoCellAnchor>
  <xdr:twoCellAnchor>
    <xdr:from>
      <xdr:col>12</xdr:col>
      <xdr:colOff>5126</xdr:colOff>
      <xdr:row>7</xdr:row>
      <xdr:rowOff>119111</xdr:rowOff>
    </xdr:from>
    <xdr:to>
      <xdr:col>13</xdr:col>
      <xdr:colOff>526142</xdr:colOff>
      <xdr:row>9</xdr:row>
      <xdr:rowOff>54429</xdr:rowOff>
    </xdr:to>
    <xdr:sp macro="" textlink="KPI_calculation!B5">
      <xdr:nvSpPr>
        <xdr:cNvPr id="17" name="TextBox 16">
          <a:extLst>
            <a:ext uri="{FF2B5EF4-FFF2-40B4-BE49-F238E27FC236}">
              <a16:creationId xmlns:a16="http://schemas.microsoft.com/office/drawing/2014/main" id="{8C683690-6909-A5EF-A903-DB292649DE97}"/>
            </a:ext>
          </a:extLst>
        </xdr:cNvPr>
        <xdr:cNvSpPr txBox="1"/>
      </xdr:nvSpPr>
      <xdr:spPr>
        <a:xfrm>
          <a:off x="7298555" y="1389111"/>
          <a:ext cx="1128801" cy="29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A0D8ED-FF9C-4A3A-890A-7C7E5BCCCB34}" type="TxLink">
            <a:rPr lang="en-US" sz="1100" b="0" i="0" u="none" strike="noStrike" kern="1200">
              <a:solidFill>
                <a:srgbClr val="000000"/>
              </a:solidFill>
              <a:latin typeface="Calibri"/>
              <a:ea typeface="Calibri"/>
              <a:cs typeface="Calibri"/>
            </a:rPr>
            <a:pPr algn="ctr"/>
            <a:t> $56.360,00 </a:t>
          </a:fld>
          <a:endParaRPr lang="en-DE" sz="1100" kern="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il" refreshedDate="46189.657135416666" createdVersion="8" refreshedVersion="8" minRefreshableVersion="3" recordCount="1000" xr:uid="{8CF4D428-8ED6-43BF-BF7B-611424E20F74}">
  <cacheSource type="worksheet">
    <worksheetSource ref="A1:N1001" sheet="working sheet "/>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ets"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46002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1C4FC2-B188-4771-BC5C-E39824BD08B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h="1" x="0"/>
        <item x="1"/>
        <item t="default"/>
      </items>
    </pivotField>
    <pivotField showAll="0"/>
    <pivotField numFmtId="1" showAll="0"/>
    <pivotField showAll="0"/>
    <pivotField showAll="0">
      <items count="6">
        <item x="0"/>
        <item h="1" x="4"/>
        <item h="1" x="2"/>
        <item h="1" x="1"/>
        <item h="1" x="3"/>
        <item t="default"/>
      </items>
    </pivotField>
    <pivotField showAll="0"/>
    <pivotField showAll="0"/>
    <pivotField showAll="0"/>
    <pivotField axis="axisRow" showAll="0">
      <items count="8">
        <item x="0"/>
        <item m="1" x="6"/>
        <item x="3"/>
        <item x="1"/>
        <item x="2"/>
        <item m="1" x="5"/>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C6443B-D923-4755-98BD-EC3D7695F0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baseField="2" baseItem="0" numFmtId="165"/>
  </dataFields>
  <formats count="1">
    <format dxfId="0">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0"/>
          </reference>
        </references>
      </pivotArea>
    </chartFormat>
    <chartFormat chart="9" format="3"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ABC1E1-2097-4C90-8275-DEB4FAA79F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3:D90" firstHeaderRow="1" firstDataRow="2" firstDataCol="1"/>
  <pivotFields count="14">
    <pivotField showAll="0"/>
    <pivotField showAll="0">
      <items count="3">
        <item h="1" x="0"/>
        <item x="1"/>
        <item t="default"/>
      </items>
    </pivotField>
    <pivotField showAll="0"/>
    <pivotField numFmtId="1" showAll="0"/>
    <pivotField showAll="0"/>
    <pivotField showAll="0">
      <items count="6">
        <item x="0"/>
        <item h="1" x="4"/>
        <item h="1" x="2"/>
        <item h="1" x="1"/>
        <item h="1" x="3"/>
        <item t="default"/>
      </items>
    </pivotField>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36">
    <i>
      <x/>
    </i>
    <i>
      <x v="3"/>
    </i>
    <i>
      <x v="5"/>
    </i>
    <i>
      <x v="6"/>
    </i>
    <i>
      <x v="7"/>
    </i>
    <i>
      <x v="8"/>
    </i>
    <i>
      <x v="9"/>
    </i>
    <i>
      <x v="10"/>
    </i>
    <i>
      <x v="11"/>
    </i>
    <i>
      <x v="12"/>
    </i>
    <i>
      <x v="13"/>
    </i>
    <i>
      <x v="14"/>
    </i>
    <i>
      <x v="15"/>
    </i>
    <i>
      <x v="16"/>
    </i>
    <i>
      <x v="17"/>
    </i>
    <i>
      <x v="18"/>
    </i>
    <i>
      <x v="19"/>
    </i>
    <i>
      <x v="20"/>
    </i>
    <i>
      <x v="21"/>
    </i>
    <i>
      <x v="22"/>
    </i>
    <i>
      <x v="23"/>
    </i>
    <i>
      <x v="26"/>
    </i>
    <i>
      <x v="27"/>
    </i>
    <i>
      <x v="28"/>
    </i>
    <i>
      <x v="32"/>
    </i>
    <i>
      <x v="33"/>
    </i>
    <i>
      <x v="34"/>
    </i>
    <i>
      <x v="35"/>
    </i>
    <i>
      <x v="36"/>
    </i>
    <i>
      <x v="37"/>
    </i>
    <i>
      <x v="38"/>
    </i>
    <i>
      <x v="40"/>
    </i>
    <i>
      <x v="41"/>
    </i>
    <i>
      <x v="42"/>
    </i>
    <i>
      <x v="4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3FF3CB-64F1-47D4-B087-20C5992EC5B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D45" firstHeaderRow="1" firstDataRow="2" firstDataCol="1"/>
  <pivotFields count="14">
    <pivotField showAll="0"/>
    <pivotField showAll="0">
      <items count="3">
        <item h="1" x="0"/>
        <item x="1"/>
        <item t="default"/>
      </items>
    </pivotField>
    <pivotField showAll="0"/>
    <pivotField numFmtId="1" showAll="0"/>
    <pivotField showAll="0"/>
    <pivotField showAll="0">
      <items count="6">
        <item x="0"/>
        <item h="1" x="4"/>
        <item h="1" x="2"/>
        <item h="1" x="1"/>
        <item h="1" x="3"/>
        <item t="default"/>
      </items>
    </pivotField>
    <pivotField showAll="0"/>
    <pivotField showAll="0"/>
    <pivotField showAll="0"/>
    <pivotField showAll="0"/>
    <pivotField showAll="0"/>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7D29207-3446-4B55-8293-55BBEBDD9F2E}" sourceName="Marital Status">
  <pivotTables>
    <pivotTable tabId="4" name="PivotTable2"/>
    <pivotTable tabId="4" name="PivotTable4"/>
    <pivotTable tabId="4" name="PivotTable5"/>
    <pivotTable tabId="4" name="PivotTable6"/>
  </pivotTables>
  <data>
    <tabular pivotCacheId="14600264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2549841-08C9-4166-B338-ABC9FF35630E}" sourceName="Education">
  <pivotTables>
    <pivotTable tabId="4" name="PivotTable2"/>
    <pivotTable tabId="4" name="PivotTable4"/>
    <pivotTable tabId="4" name="PivotTable5"/>
    <pivotTable tabId="4" name="PivotTable6"/>
  </pivotTables>
  <data>
    <tabular pivotCacheId="146002647">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466ABD-4BC5-42BF-8A55-834E7E53DD1B}" sourceName="Region">
  <pivotTables>
    <pivotTable tabId="4" name="PivotTable2"/>
  </pivotTables>
  <data>
    <tabular pivotCacheId="146002647">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651C2FE-514A-40DB-834E-E4A02DC17B5C}" cache="Slicer_Marital_Status" caption="Marital Status" rowHeight="241300"/>
  <slicer name="Education" xr10:uid="{231D7FFD-1C6E-49D7-972E-5F5E0B995C5F}" cache="Slicer_Education" caption="Education" rowHeight="241300"/>
  <slicer name="Region" xr10:uid="{4A7446D6-CB80-40DE-BF41-B37F9BB9D36A}"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topLeftCell="A972" workbookViewId="0">
      <selection activeCell="B1033" sqref="B1033"/>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3DCAF-0B6D-4F99-B9DF-3BF0DE448050}">
  <dimension ref="A1:N1001"/>
  <sheetViews>
    <sheetView workbookViewId="0">
      <selection activeCell="D2" sqref="D2"/>
    </sheetView>
  </sheetViews>
  <sheetFormatPr defaultRowHeight="14.5" x14ac:dyDescent="0.35"/>
  <cols>
    <col min="2" max="2" width="20.81640625" customWidth="1"/>
    <col min="4" max="4" width="16" style="3" customWidth="1"/>
    <col min="6" max="6" width="19.453125" customWidth="1"/>
    <col min="7" max="7" width="12.453125" customWidth="1"/>
    <col min="8" max="8" width="11.08984375" customWidth="1"/>
    <col min="9" max="9" width="11.1796875" customWidth="1"/>
    <col min="10" max="10" width="11.81640625" customWidth="1"/>
    <col min="11" max="11" width="10.54296875" customWidth="1"/>
    <col min="13" max="13" width="24.08984375" customWidth="1"/>
    <col min="14" max="14" width="15.0898437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 55+",IF(L2&gt;=31,"Middle age 31-54",IF(L2&lt;31,"adolescent 0-30","invalid")))</f>
        <v>Middle age 31-54</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35">
      <c r="A4">
        <v>14177</v>
      </c>
      <c r="B4" t="s">
        <v>36</v>
      </c>
      <c r="C4" t="s">
        <v>38</v>
      </c>
      <c r="D4" s="3">
        <v>80000</v>
      </c>
      <c r="E4">
        <v>5</v>
      </c>
      <c r="F4" t="s">
        <v>19</v>
      </c>
      <c r="G4" t="s">
        <v>21</v>
      </c>
      <c r="H4" t="s">
        <v>18</v>
      </c>
      <c r="I4">
        <v>2</v>
      </c>
      <c r="J4" t="s">
        <v>22</v>
      </c>
      <c r="K4" t="s">
        <v>17</v>
      </c>
      <c r="L4">
        <v>60</v>
      </c>
      <c r="M4" t="str">
        <f t="shared" si="0"/>
        <v>Old 55+</v>
      </c>
      <c r="N4" t="s">
        <v>18</v>
      </c>
    </row>
    <row r="5" spans="1:14" x14ac:dyDescent="0.35">
      <c r="A5">
        <v>24381</v>
      </c>
      <c r="B5" t="s">
        <v>37</v>
      </c>
      <c r="C5" t="s">
        <v>38</v>
      </c>
      <c r="D5" s="3">
        <v>70000</v>
      </c>
      <c r="E5">
        <v>0</v>
      </c>
      <c r="F5" t="s">
        <v>13</v>
      </c>
      <c r="G5" t="s">
        <v>21</v>
      </c>
      <c r="H5" t="s">
        <v>15</v>
      </c>
      <c r="I5">
        <v>1</v>
      </c>
      <c r="J5" t="s">
        <v>23</v>
      </c>
      <c r="K5" t="s">
        <v>24</v>
      </c>
      <c r="L5">
        <v>41</v>
      </c>
      <c r="M5" t="str">
        <f t="shared" si="0"/>
        <v>Middle age 31-54</v>
      </c>
      <c r="N5" t="s">
        <v>15</v>
      </c>
    </row>
    <row r="6" spans="1:14" x14ac:dyDescent="0.35">
      <c r="A6">
        <v>25597</v>
      </c>
      <c r="B6" t="s">
        <v>37</v>
      </c>
      <c r="C6" t="s">
        <v>38</v>
      </c>
      <c r="D6" s="3">
        <v>30000</v>
      </c>
      <c r="E6">
        <v>0</v>
      </c>
      <c r="F6" t="s">
        <v>13</v>
      </c>
      <c r="G6" t="s">
        <v>20</v>
      </c>
      <c r="H6" t="s">
        <v>18</v>
      </c>
      <c r="I6">
        <v>0</v>
      </c>
      <c r="J6" t="s">
        <v>16</v>
      </c>
      <c r="K6" t="s">
        <v>17</v>
      </c>
      <c r="L6">
        <v>36</v>
      </c>
      <c r="M6" t="str">
        <f t="shared" si="0"/>
        <v>Middle age 31-54</v>
      </c>
      <c r="N6" t="s">
        <v>15</v>
      </c>
    </row>
    <row r="7" spans="1:14" x14ac:dyDescent="0.35">
      <c r="A7">
        <v>13507</v>
      </c>
      <c r="B7" t="s">
        <v>36</v>
      </c>
      <c r="C7" t="s">
        <v>39</v>
      </c>
      <c r="D7" s="3">
        <v>10000</v>
      </c>
      <c r="E7">
        <v>2</v>
      </c>
      <c r="F7" t="s">
        <v>19</v>
      </c>
      <c r="G7" t="s">
        <v>25</v>
      </c>
      <c r="H7" t="s">
        <v>15</v>
      </c>
      <c r="I7">
        <v>0</v>
      </c>
      <c r="J7" t="s">
        <v>26</v>
      </c>
      <c r="K7" t="s">
        <v>17</v>
      </c>
      <c r="L7">
        <v>50</v>
      </c>
      <c r="M7" t="str">
        <f t="shared" si="0"/>
        <v>Middle age 31-54</v>
      </c>
      <c r="N7" t="s">
        <v>18</v>
      </c>
    </row>
    <row r="8" spans="1:14" x14ac:dyDescent="0.35">
      <c r="A8">
        <v>27974</v>
      </c>
      <c r="B8" t="s">
        <v>37</v>
      </c>
      <c r="C8" t="s">
        <v>38</v>
      </c>
      <c r="D8" s="3">
        <v>160000</v>
      </c>
      <c r="E8">
        <v>2</v>
      </c>
      <c r="F8" t="s">
        <v>27</v>
      </c>
      <c r="G8" t="s">
        <v>28</v>
      </c>
      <c r="H8" t="s">
        <v>15</v>
      </c>
      <c r="I8">
        <v>4</v>
      </c>
      <c r="J8" t="s">
        <v>16</v>
      </c>
      <c r="K8" t="s">
        <v>24</v>
      </c>
      <c r="L8">
        <v>33</v>
      </c>
      <c r="M8" t="str">
        <f t="shared" si="0"/>
        <v>Middle age 31-54</v>
      </c>
      <c r="N8" t="s">
        <v>15</v>
      </c>
    </row>
    <row r="9" spans="1:14" x14ac:dyDescent="0.35">
      <c r="A9">
        <v>19364</v>
      </c>
      <c r="B9" t="s">
        <v>36</v>
      </c>
      <c r="C9" t="s">
        <v>38</v>
      </c>
      <c r="D9" s="3">
        <v>40000</v>
      </c>
      <c r="E9">
        <v>1</v>
      </c>
      <c r="F9" t="s">
        <v>13</v>
      </c>
      <c r="G9" t="s">
        <v>14</v>
      </c>
      <c r="H9" t="s">
        <v>15</v>
      </c>
      <c r="I9">
        <v>0</v>
      </c>
      <c r="J9" t="s">
        <v>16</v>
      </c>
      <c r="K9" t="s">
        <v>17</v>
      </c>
      <c r="L9">
        <v>43</v>
      </c>
      <c r="M9" t="str">
        <f t="shared" si="0"/>
        <v>Middle age 31-54</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 31-54</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 31-54</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 31-54</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 31-54</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 31-54</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 31-54</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 31-54</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 31-54</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 0-30</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 31-54</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 0-30</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 31-54</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 0-30</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 31-54</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 31-54</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 31-54</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 31-54</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 31-54</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 31-54</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 31-54</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 31-54</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 31-54</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 31-54</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 0-30</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 31-54</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 31-54</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 0-30</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 31-54</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 0-30</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 31-54</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 31-54</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 0-30</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 31-54</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 0-30</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 55+</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 31-54</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 31-54</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 0-30</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 31-54</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 31-54</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 31-54</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 31-54</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 31-54</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 31-54</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 0-30</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 0-30</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 31-54</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 31-54</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 31-54</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 31-54</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 31-54</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 31-54</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 55+",IF(L131&gt;=31,"Middle age 31-54",IF(L131&lt;31,"adolescent 0-30","invalid")))</f>
        <v>Middle age 31-54</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 31-54</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 31-54</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 31-54</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 31-54</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 31-54</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 31-54</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 31-54</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 31-54</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 31-54</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 0-30</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 31-54</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 31-54</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 31-54</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 31-54</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 31-54</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 31-54</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 0-30</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 31-54</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 31-54</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 31-54</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 31-54</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 31-54</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 31-54</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 55+</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 31-54</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 55+</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 55+</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 31-54</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 31-54</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 31-54</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 55+</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 55+",IF(L195&gt;=31,"Middle age 31-54",IF(L195&lt;31,"adolescent 0-30","invalid")))</f>
        <v>Middle age 31-54</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 0-30</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 31-54</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 31-54</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 0-30</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 31-54</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 31-54</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 55+</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 31-54</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 31-54</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 31-54</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 31-54</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 0-30</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 31-54</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 31-54</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 31-54</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 31-54</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 31-54</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 55+</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 55+</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 0-30</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 31-54</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 31-54</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 31-54</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 31-54</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 31-54</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 31-54</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 31-54</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 31-54</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 31-54</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 55+</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 31-54</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 55+",IF(L259&gt;=31,"Middle age 31-54",IF(L259&lt;31,"adolescent 0-30","invalid")))</f>
        <v>Middle age 31-54</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 55+</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 31-54</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 31-54</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 31-54</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 31-54</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 31-54</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 31-54</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 31-54</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 31-54</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 31-54</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 31-54</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 31-54</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 31-54</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 31-54</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 31-54</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 31-54</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 31-54</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 31-54</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 31-54</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 31-54</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 31-54</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 31-54</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 31-54</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 31-54</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 31-54</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 31-54</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 31-54</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 31-54</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 31-54</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 55+",IF(L323&gt;=31,"Middle age 31-54",IF(L323&lt;31,"adolescent 0-30","invalid")))</f>
        <v>Middle age 31-54</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 31-54</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 31-54</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 31-54</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 31-54</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 55+</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 31-54</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 0-30</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 31-54</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 31-54</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 31-54</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 31-54</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 31-54</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 0-30</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 31-54</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 31-54</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 31-54</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 31-54</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 0-30</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 31-54</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 31-54</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 31-54</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 31-54</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 0-30</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 31-54</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 31-54</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 31-54</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 31-54</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 31-54</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 31-54</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 0-30</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 31-54</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 31-54</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 0-30</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 31-54</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 31-54</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 31-54</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 31-54</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 31-54</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 31-54</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 31-54</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 31-54</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 31-54</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 31-54</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 31-54</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 31-54</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 31-54</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 31-54</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 31-54</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 31-54</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 31-54</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 55+</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 31-54</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 31-54</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 31-54</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 0-30</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 31-54</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 0-30</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 31-54</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 31-54</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 31-54</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 31-54</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 31-54</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 31-54</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 31-54</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 55+",IF(L451&gt;=31,"Middle age 31-54",IF(L451&lt;31,"adolescent 0-30","invalid")))</f>
        <v>Middle age 31-54</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 31-54</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 31-54</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 31-54</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 31-54</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 31-54</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 31-54</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 31-54</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 0-30</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 31-54</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 31-54</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 31-54</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 31-54</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 31-54</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 31-54</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 55+</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 31-54</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 31-54</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 31-54</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 31-54</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 55+</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 31-54</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 55+</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 31-54</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 31-54</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 0-30</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 31-54</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 31-54</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 0-30</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 31-54</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 31-54</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 55+",IF(L515&gt;=31,"Middle age 31-54",IF(L515&lt;31,"adolescent 0-30","invalid")))</f>
        <v>Old 55+</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 31-54</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 31-54</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 31-54</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 55+</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 31-54</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 31-54</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 55+</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 31-54</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 55+</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 0-30</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 0-30</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 55+</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 55+</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 31-54</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 31-54</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 0-30</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 31-54</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 0-30</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 31-54</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 55+</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 31-54</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 31-54</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 31-54</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 55+</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 0-30</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 31-54</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 31-54</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 31-54</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 55+</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 31-54</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 0-30</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 55+</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 55+",IF(L579&gt;=31,"Middle age 31-54",IF(L579&lt;31,"adolescent 0-30","invalid")))</f>
        <v>Middle age 31-54</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 55+</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 0-30</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 31-54</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 55+</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 31-54</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 31-54</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 31-54</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 31-54</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 55+</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 55+</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 31-54</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 31-54</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 31-54</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 31-54</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 31-54</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 0-30</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 31-54</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 31-54</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 31-54</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 31-54</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 31-54</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 31-54</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 31-54</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 31-54</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 31-54</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 31-54</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 0-30</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 31-54</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 0-30</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 55+",IF(L643&gt;=31,"Middle age 31-54",IF(L643&lt;31,"adolescent 0-30","invalid")))</f>
        <v>Old 55+</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 31-54</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 31-54</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 55+</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 31-54</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 31-54</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 31-54</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 31-54</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 31-54</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 31-54</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 31-54</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 55+</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 0-30</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 31-54</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 55+</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 55+</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 31-54</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 31-54</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 31-54</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 55+</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 31-54</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 0-30</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 0-30</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 0-30</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 31-54</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 31-54</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 31-54</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 0-30</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 31-54</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 31-54</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 0-30</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 31-54</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 55+",IF(L707&gt;=31,"Middle age 31-54",IF(L707&lt;31,"adolescent 0-30","invalid")))</f>
        <v>Old 55+</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 55+</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 55+</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 31-54</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 55+</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 0-30</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 31-54</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 31-54</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 31-54</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 31-54</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 31-54</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 31-54</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 31-54</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 0-30</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 31-54</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 31-54</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 31-54</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 31-54</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 55+</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 0-30</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 0-30</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 31-54</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 55+</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 31-54</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 55+</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 31-54</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 31-54</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 31-54</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 31-54</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 31-54</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 31-54</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 31-54</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 55+</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 31-54</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 31-54</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 31-54</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 55+",IF(L771&gt;=31,"Middle age 31-54",IF(L771&lt;31,"adolescent 0-30","invalid")))</f>
        <v>Middle age 31-54</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 55+</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 31-54</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 31-54</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 31-54</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 0-30</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 31-54</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 31-54</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 55+</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 31-54</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 31-54</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 31-54</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 31-54</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 0-30</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 31-54</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 31-54</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 31-54</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 0-30</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 31-54</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 0-30</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 0-30</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 0-30</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 31-54</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 31-54</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 55+</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 31-54</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 0-30</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 0-30</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 31-54</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 31-54</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 31-54</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 31-54</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 31-54</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 31-54</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 31-54</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 31-54</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 31-54</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 31-54</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 55+</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 31-54</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 31-54</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 31-54</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 31-54</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 0-30</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 31-54</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 31-54</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 31-54</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 31-54</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 31-54</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 31-54</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 55+</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 31-54</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 55+</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 31-54</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 55+</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 31-54</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 0-30</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 31-54</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 31-54</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 31-54</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 31-54</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 31-54</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 31-54</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 31-54</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 55+</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 31-54</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 31-54</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 31-54</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 31-54</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 31-54</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 55+</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 31-54</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 31-54</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 31-54</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 31-54</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 31-54</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 55+</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 31-54</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 31-54</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 55+</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 31-54</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 31-54</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 31-54</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 55+</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 31-54</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 31-54</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 31-54</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 0-30</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 31-54</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 31-54</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 31-54</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 31-54</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 31-54</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 31-54</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 31-54</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 31-54</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 31-54</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 55+",IF(L963&gt;=31,"Middle age 31-54",IF(L963&lt;31,"adolescent 0-30","invalid")))</f>
        <v>Old 55+</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 55+</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 55+</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 0-30</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 31-54</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 31-54</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 31-54</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 31-54</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 55+</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 31-54</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 31-54</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 31-54</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 31-54</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 31-54</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 31-54</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 31-54</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 55+</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 55+</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 55+</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 31-54</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 31-54</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 31-54</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 31-54</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 31-54</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 31-54</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 31-54</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 31-54</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 31-54</v>
      </c>
      <c r="N1001" t="s">
        <v>15</v>
      </c>
    </row>
  </sheetData>
  <autoFilter ref="A1:N1001" xr:uid="{AE83DCAF-0B6D-4F99-B9DF-3BF0DE44805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C9384-EDBD-4AB6-BAE3-2182A8E26500}">
  <dimension ref="A3:D90"/>
  <sheetViews>
    <sheetView topLeftCell="B40" zoomScale="70" zoomScaleNormal="70" workbookViewId="0">
      <selection activeCell="U20" sqref="U20"/>
    </sheetView>
  </sheetViews>
  <sheetFormatPr defaultRowHeight="14.5" x14ac:dyDescent="0.35"/>
  <cols>
    <col min="1" max="1" width="21.54296875" bestFit="1" customWidth="1"/>
    <col min="2" max="2" width="15.90625" bestFit="1" customWidth="1"/>
    <col min="3" max="3" width="12.7265625" customWidth="1"/>
    <col min="4" max="4" width="10.7265625" bestFit="1" customWidth="1"/>
  </cols>
  <sheetData>
    <row r="3" spans="1:4" x14ac:dyDescent="0.35">
      <c r="A3" s="4" t="s">
        <v>44</v>
      </c>
      <c r="B3" s="4" t="s">
        <v>43</v>
      </c>
    </row>
    <row r="4" spans="1:4" x14ac:dyDescent="0.35">
      <c r="A4" s="4" t="s">
        <v>41</v>
      </c>
      <c r="B4" t="s">
        <v>18</v>
      </c>
      <c r="C4" t="s">
        <v>15</v>
      </c>
      <c r="D4" t="s">
        <v>42</v>
      </c>
    </row>
    <row r="5" spans="1:4" x14ac:dyDescent="0.35">
      <c r="A5" s="5" t="s">
        <v>39</v>
      </c>
      <c r="B5" s="6">
        <v>970000</v>
      </c>
      <c r="C5" s="6">
        <v>660000</v>
      </c>
      <c r="D5" s="6">
        <v>1630000</v>
      </c>
    </row>
    <row r="6" spans="1:4" x14ac:dyDescent="0.35">
      <c r="A6" s="5" t="s">
        <v>38</v>
      </c>
      <c r="B6" s="6">
        <v>580000</v>
      </c>
      <c r="C6" s="6">
        <v>1330000</v>
      </c>
      <c r="D6" s="6">
        <v>1910000</v>
      </c>
    </row>
    <row r="7" spans="1:4" x14ac:dyDescent="0.35">
      <c r="A7" s="5" t="s">
        <v>42</v>
      </c>
      <c r="B7" s="6">
        <v>1550000</v>
      </c>
      <c r="C7" s="6">
        <v>1990000</v>
      </c>
      <c r="D7" s="6">
        <v>3540000</v>
      </c>
    </row>
    <row r="20" spans="1:4" x14ac:dyDescent="0.35">
      <c r="A20" s="4" t="s">
        <v>45</v>
      </c>
      <c r="B20" s="4" t="s">
        <v>43</v>
      </c>
    </row>
    <row r="21" spans="1:4" x14ac:dyDescent="0.35">
      <c r="A21" s="4" t="s">
        <v>41</v>
      </c>
      <c r="B21" t="s">
        <v>18</v>
      </c>
      <c r="C21" t="s">
        <v>15</v>
      </c>
      <c r="D21" t="s">
        <v>42</v>
      </c>
    </row>
    <row r="22" spans="1:4" x14ac:dyDescent="0.35">
      <c r="A22" s="5" t="s">
        <v>16</v>
      </c>
      <c r="B22" s="7">
        <v>12</v>
      </c>
      <c r="C22" s="7">
        <v>36</v>
      </c>
      <c r="D22" s="7">
        <v>48</v>
      </c>
    </row>
    <row r="23" spans="1:4" x14ac:dyDescent="0.35">
      <c r="A23" s="5" t="s">
        <v>26</v>
      </c>
      <c r="B23" s="7">
        <v>5</v>
      </c>
      <c r="C23" s="7">
        <v>6</v>
      </c>
      <c r="D23" s="7">
        <v>11</v>
      </c>
    </row>
    <row r="24" spans="1:4" x14ac:dyDescent="0.35">
      <c r="A24" s="5" t="s">
        <v>22</v>
      </c>
      <c r="B24" s="7">
        <v>9</v>
      </c>
      <c r="C24" s="7">
        <v>25</v>
      </c>
      <c r="D24" s="7">
        <v>34</v>
      </c>
    </row>
    <row r="25" spans="1:4" x14ac:dyDescent="0.35">
      <c r="A25" s="5" t="s">
        <v>23</v>
      </c>
      <c r="B25" s="7">
        <v>6</v>
      </c>
      <c r="C25" s="7">
        <v>15</v>
      </c>
      <c r="D25" s="7">
        <v>21</v>
      </c>
    </row>
    <row r="26" spans="1:4" x14ac:dyDescent="0.35">
      <c r="A26" s="5" t="s">
        <v>46</v>
      </c>
      <c r="B26" s="7">
        <v>17</v>
      </c>
      <c r="C26" s="7">
        <v>9</v>
      </c>
      <c r="D26" s="7">
        <v>26</v>
      </c>
    </row>
    <row r="27" spans="1:4" x14ac:dyDescent="0.35">
      <c r="A27" s="5" t="s">
        <v>42</v>
      </c>
      <c r="B27" s="7">
        <v>49</v>
      </c>
      <c r="C27" s="7">
        <v>91</v>
      </c>
      <c r="D27" s="7">
        <v>140</v>
      </c>
    </row>
    <row r="40" spans="1:4" x14ac:dyDescent="0.35">
      <c r="A40" s="4" t="s">
        <v>45</v>
      </c>
      <c r="B40" s="4" t="s">
        <v>43</v>
      </c>
    </row>
    <row r="41" spans="1:4" x14ac:dyDescent="0.35">
      <c r="A41" s="4" t="s">
        <v>41</v>
      </c>
      <c r="B41" t="s">
        <v>18</v>
      </c>
      <c r="C41" t="s">
        <v>15</v>
      </c>
      <c r="D41" t="s">
        <v>42</v>
      </c>
    </row>
    <row r="42" spans="1:4" x14ac:dyDescent="0.35">
      <c r="A42" s="5" t="s">
        <v>47</v>
      </c>
      <c r="B42" s="7">
        <v>39</v>
      </c>
      <c r="C42" s="7">
        <v>75</v>
      </c>
      <c r="D42" s="7">
        <v>114</v>
      </c>
    </row>
    <row r="43" spans="1:4" x14ac:dyDescent="0.35">
      <c r="A43" s="5" t="s">
        <v>48</v>
      </c>
      <c r="B43" s="7">
        <v>9</v>
      </c>
      <c r="C43" s="7">
        <v>13</v>
      </c>
      <c r="D43" s="7">
        <v>22</v>
      </c>
    </row>
    <row r="44" spans="1:4" x14ac:dyDescent="0.35">
      <c r="A44" s="5" t="s">
        <v>49</v>
      </c>
      <c r="B44" s="7">
        <v>1</v>
      </c>
      <c r="C44" s="7">
        <v>3</v>
      </c>
      <c r="D44" s="7">
        <v>4</v>
      </c>
    </row>
    <row r="45" spans="1:4" x14ac:dyDescent="0.35">
      <c r="A45" s="5" t="s">
        <v>42</v>
      </c>
      <c r="B45" s="7">
        <v>49</v>
      </c>
      <c r="C45" s="7">
        <v>91</v>
      </c>
      <c r="D45" s="7">
        <v>140</v>
      </c>
    </row>
    <row r="53" spans="1:4" x14ac:dyDescent="0.35">
      <c r="A53" s="4" t="s">
        <v>45</v>
      </c>
      <c r="B53" s="4" t="s">
        <v>43</v>
      </c>
    </row>
    <row r="54" spans="1:4" x14ac:dyDescent="0.35">
      <c r="A54" s="4" t="s">
        <v>41</v>
      </c>
      <c r="B54" t="s">
        <v>18</v>
      </c>
      <c r="C54" t="s">
        <v>15</v>
      </c>
      <c r="D54" t="s">
        <v>42</v>
      </c>
    </row>
    <row r="55" spans="1:4" x14ac:dyDescent="0.35">
      <c r="A55" s="5">
        <v>25</v>
      </c>
      <c r="B55" s="7"/>
      <c r="C55" s="7">
        <v>1</v>
      </c>
      <c r="D55" s="7">
        <v>1</v>
      </c>
    </row>
    <row r="56" spans="1:4" x14ac:dyDescent="0.35">
      <c r="A56" s="5">
        <v>28</v>
      </c>
      <c r="B56" s="7"/>
      <c r="C56" s="7">
        <v>1</v>
      </c>
      <c r="D56" s="7">
        <v>1</v>
      </c>
    </row>
    <row r="57" spans="1:4" x14ac:dyDescent="0.35">
      <c r="A57" s="5">
        <v>30</v>
      </c>
      <c r="B57" s="7">
        <v>1</v>
      </c>
      <c r="C57" s="7">
        <v>1</v>
      </c>
      <c r="D57" s="7">
        <v>2</v>
      </c>
    </row>
    <row r="58" spans="1:4" x14ac:dyDescent="0.35">
      <c r="A58" s="5">
        <v>31</v>
      </c>
      <c r="B58" s="7">
        <v>3</v>
      </c>
      <c r="C58" s="7">
        <v>1</v>
      </c>
      <c r="D58" s="7">
        <v>4</v>
      </c>
    </row>
    <row r="59" spans="1:4" x14ac:dyDescent="0.35">
      <c r="A59" s="5">
        <v>32</v>
      </c>
      <c r="B59" s="7">
        <v>2</v>
      </c>
      <c r="C59" s="7"/>
      <c r="D59" s="7">
        <v>2</v>
      </c>
    </row>
    <row r="60" spans="1:4" x14ac:dyDescent="0.35">
      <c r="A60" s="5">
        <v>33</v>
      </c>
      <c r="B60" s="7">
        <v>1</v>
      </c>
      <c r="C60" s="7">
        <v>1</v>
      </c>
      <c r="D60" s="7">
        <v>2</v>
      </c>
    </row>
    <row r="61" spans="1:4" x14ac:dyDescent="0.35">
      <c r="A61" s="5">
        <v>34</v>
      </c>
      <c r="B61" s="7"/>
      <c r="C61" s="7">
        <v>2</v>
      </c>
      <c r="D61" s="7">
        <v>2</v>
      </c>
    </row>
    <row r="62" spans="1:4" x14ac:dyDescent="0.35">
      <c r="A62" s="5">
        <v>35</v>
      </c>
      <c r="B62" s="7">
        <v>2</v>
      </c>
      <c r="C62" s="7">
        <v>1</v>
      </c>
      <c r="D62" s="7">
        <v>3</v>
      </c>
    </row>
    <row r="63" spans="1:4" x14ac:dyDescent="0.35">
      <c r="A63" s="5">
        <v>36</v>
      </c>
      <c r="B63" s="7">
        <v>2</v>
      </c>
      <c r="C63" s="7">
        <v>4</v>
      </c>
      <c r="D63" s="7">
        <v>6</v>
      </c>
    </row>
    <row r="64" spans="1:4" x14ac:dyDescent="0.35">
      <c r="A64" s="5">
        <v>37</v>
      </c>
      <c r="B64" s="7"/>
      <c r="C64" s="7">
        <v>10</v>
      </c>
      <c r="D64" s="7">
        <v>10</v>
      </c>
    </row>
    <row r="65" spans="1:4" x14ac:dyDescent="0.35">
      <c r="A65" s="5">
        <v>38</v>
      </c>
      <c r="B65" s="7">
        <v>5</v>
      </c>
      <c r="C65" s="7">
        <v>13</v>
      </c>
      <c r="D65" s="7">
        <v>18</v>
      </c>
    </row>
    <row r="66" spans="1:4" x14ac:dyDescent="0.35">
      <c r="A66" s="5">
        <v>39</v>
      </c>
      <c r="B66" s="7">
        <v>3</v>
      </c>
      <c r="C66" s="7">
        <v>7</v>
      </c>
      <c r="D66" s="7">
        <v>10</v>
      </c>
    </row>
    <row r="67" spans="1:4" x14ac:dyDescent="0.35">
      <c r="A67" s="5">
        <v>40</v>
      </c>
      <c r="B67" s="7">
        <v>4</v>
      </c>
      <c r="C67" s="7">
        <v>5</v>
      </c>
      <c r="D67" s="7">
        <v>9</v>
      </c>
    </row>
    <row r="68" spans="1:4" x14ac:dyDescent="0.35">
      <c r="A68" s="5">
        <v>41</v>
      </c>
      <c r="B68" s="7">
        <v>2</v>
      </c>
      <c r="C68" s="7">
        <v>9</v>
      </c>
      <c r="D68" s="7">
        <v>11</v>
      </c>
    </row>
    <row r="69" spans="1:4" x14ac:dyDescent="0.35">
      <c r="A69" s="5">
        <v>42</v>
      </c>
      <c r="B69" s="7">
        <v>5</v>
      </c>
      <c r="C69" s="7">
        <v>5</v>
      </c>
      <c r="D69" s="7">
        <v>10</v>
      </c>
    </row>
    <row r="70" spans="1:4" x14ac:dyDescent="0.35">
      <c r="A70" s="5">
        <v>43</v>
      </c>
      <c r="B70" s="7">
        <v>1</v>
      </c>
      <c r="C70" s="7">
        <v>5</v>
      </c>
      <c r="D70" s="7">
        <v>6</v>
      </c>
    </row>
    <row r="71" spans="1:4" x14ac:dyDescent="0.35">
      <c r="A71" s="5">
        <v>44</v>
      </c>
      <c r="B71" s="7">
        <v>2</v>
      </c>
      <c r="C71" s="7">
        <v>2</v>
      </c>
      <c r="D71" s="7">
        <v>4</v>
      </c>
    </row>
    <row r="72" spans="1:4" x14ac:dyDescent="0.35">
      <c r="A72" s="5">
        <v>45</v>
      </c>
      <c r="B72" s="7">
        <v>2</v>
      </c>
      <c r="C72" s="7">
        <v>1</v>
      </c>
      <c r="D72" s="7">
        <v>3</v>
      </c>
    </row>
    <row r="73" spans="1:4" x14ac:dyDescent="0.35">
      <c r="A73" s="5">
        <v>46</v>
      </c>
      <c r="B73" s="7"/>
      <c r="C73" s="7">
        <v>2</v>
      </c>
      <c r="D73" s="7">
        <v>2</v>
      </c>
    </row>
    <row r="74" spans="1:4" x14ac:dyDescent="0.35">
      <c r="A74" s="5">
        <v>47</v>
      </c>
      <c r="B74" s="7"/>
      <c r="C74" s="7">
        <v>5</v>
      </c>
      <c r="D74" s="7">
        <v>5</v>
      </c>
    </row>
    <row r="75" spans="1:4" x14ac:dyDescent="0.35">
      <c r="A75" s="5">
        <v>48</v>
      </c>
      <c r="B75" s="7">
        <v>3</v>
      </c>
      <c r="C75" s="7"/>
      <c r="D75" s="7">
        <v>3</v>
      </c>
    </row>
    <row r="76" spans="1:4" x14ac:dyDescent="0.35">
      <c r="A76" s="5">
        <v>51</v>
      </c>
      <c r="B76" s="7">
        <v>1</v>
      </c>
      <c r="C76" s="7"/>
      <c r="D76" s="7">
        <v>1</v>
      </c>
    </row>
    <row r="77" spans="1:4" x14ac:dyDescent="0.35">
      <c r="A77" s="5">
        <v>52</v>
      </c>
      <c r="B77" s="7"/>
      <c r="C77" s="7">
        <v>1</v>
      </c>
      <c r="D77" s="7">
        <v>1</v>
      </c>
    </row>
    <row r="78" spans="1:4" x14ac:dyDescent="0.35">
      <c r="A78" s="5">
        <v>53</v>
      </c>
      <c r="B78" s="7">
        <v>1</v>
      </c>
      <c r="C78" s="7">
        <v>1</v>
      </c>
      <c r="D78" s="7">
        <v>2</v>
      </c>
    </row>
    <row r="79" spans="1:4" x14ac:dyDescent="0.35">
      <c r="A79" s="5">
        <v>57</v>
      </c>
      <c r="B79" s="7">
        <v>1</v>
      </c>
      <c r="C79" s="7"/>
      <c r="D79" s="7">
        <v>1</v>
      </c>
    </row>
    <row r="80" spans="1:4" x14ac:dyDescent="0.35">
      <c r="A80" s="5">
        <v>58</v>
      </c>
      <c r="B80" s="7">
        <v>1</v>
      </c>
      <c r="C80" s="7">
        <v>1</v>
      </c>
      <c r="D80" s="7">
        <v>2</v>
      </c>
    </row>
    <row r="81" spans="1:4" x14ac:dyDescent="0.35">
      <c r="A81" s="5">
        <v>59</v>
      </c>
      <c r="B81" s="7">
        <v>1</v>
      </c>
      <c r="C81" s="7">
        <v>3</v>
      </c>
      <c r="D81" s="7">
        <v>4</v>
      </c>
    </row>
    <row r="82" spans="1:4" x14ac:dyDescent="0.35">
      <c r="A82" s="5">
        <v>60</v>
      </c>
      <c r="B82" s="7"/>
      <c r="C82" s="7">
        <v>2</v>
      </c>
      <c r="D82" s="7">
        <v>2</v>
      </c>
    </row>
    <row r="83" spans="1:4" x14ac:dyDescent="0.35">
      <c r="A83" s="5">
        <v>61</v>
      </c>
      <c r="B83" s="7">
        <v>1</v>
      </c>
      <c r="C83" s="7"/>
      <c r="D83" s="7">
        <v>1</v>
      </c>
    </row>
    <row r="84" spans="1:4" x14ac:dyDescent="0.35">
      <c r="A84" s="5">
        <v>62</v>
      </c>
      <c r="B84" s="7">
        <v>1</v>
      </c>
      <c r="C84" s="7">
        <v>2</v>
      </c>
      <c r="D84" s="7">
        <v>3</v>
      </c>
    </row>
    <row r="85" spans="1:4" x14ac:dyDescent="0.35">
      <c r="A85" s="5">
        <v>63</v>
      </c>
      <c r="B85" s="7">
        <v>2</v>
      </c>
      <c r="C85" s="7">
        <v>1</v>
      </c>
      <c r="D85" s="7">
        <v>3</v>
      </c>
    </row>
    <row r="86" spans="1:4" x14ac:dyDescent="0.35">
      <c r="A86" s="5">
        <v>65</v>
      </c>
      <c r="B86" s="7"/>
      <c r="C86" s="7">
        <v>2</v>
      </c>
      <c r="D86" s="7">
        <v>2</v>
      </c>
    </row>
    <row r="87" spans="1:4" x14ac:dyDescent="0.35">
      <c r="A87" s="5">
        <v>66</v>
      </c>
      <c r="B87" s="7"/>
      <c r="C87" s="7">
        <v>2</v>
      </c>
      <c r="D87" s="7">
        <v>2</v>
      </c>
    </row>
    <row r="88" spans="1:4" x14ac:dyDescent="0.35">
      <c r="A88" s="5">
        <v>67</v>
      </c>
      <c r="B88" s="7">
        <v>1</v>
      </c>
      <c r="C88" s="7"/>
      <c r="D88" s="7">
        <v>1</v>
      </c>
    </row>
    <row r="89" spans="1:4" x14ac:dyDescent="0.35">
      <c r="A89" s="5">
        <v>68</v>
      </c>
      <c r="B89" s="7">
        <v>1</v>
      </c>
      <c r="C89" s="7"/>
      <c r="D89" s="7">
        <v>1</v>
      </c>
    </row>
    <row r="90" spans="1:4" x14ac:dyDescent="0.35">
      <c r="A90" s="5" t="s">
        <v>42</v>
      </c>
      <c r="B90" s="7">
        <v>49</v>
      </c>
      <c r="C90" s="7">
        <v>91</v>
      </c>
      <c r="D90" s="7">
        <v>140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18161-05F2-4A5C-B834-47B079D0AB8C}">
  <dimension ref="A1:B5"/>
  <sheetViews>
    <sheetView workbookViewId="0">
      <selection activeCell="D6" sqref="D6"/>
    </sheetView>
  </sheetViews>
  <sheetFormatPr defaultRowHeight="14.5" x14ac:dyDescent="0.35"/>
  <cols>
    <col min="1" max="1" width="21.54296875" customWidth="1"/>
    <col min="2" max="2" width="24.26953125" customWidth="1"/>
  </cols>
  <sheetData>
    <row r="1" spans="1:2" x14ac:dyDescent="0.35">
      <c r="A1" t="s">
        <v>51</v>
      </c>
      <c r="B1" t="s">
        <v>52</v>
      </c>
    </row>
    <row r="2" spans="1:2" x14ac:dyDescent="0.35">
      <c r="A2" t="s">
        <v>53</v>
      </c>
      <c r="B2">
        <f>COUNTA('working sheet '!A:A)-1</f>
        <v>1000</v>
      </c>
    </row>
    <row r="3" spans="1:2" x14ac:dyDescent="0.35">
      <c r="A3" t="s">
        <v>54</v>
      </c>
      <c r="B3">
        <f>COUNTIF('working sheet '!N:N,"yes")</f>
        <v>481</v>
      </c>
    </row>
    <row r="4" spans="1:2" x14ac:dyDescent="0.35">
      <c r="A4" t="s">
        <v>55</v>
      </c>
      <c r="B4" s="11">
        <f>COUNTIF('working sheet '!N:N,"yes")/(COUNTA('working sheet '!A:A)-1)</f>
        <v>0.48099999999999998</v>
      </c>
    </row>
    <row r="5" spans="1:2" x14ac:dyDescent="0.35">
      <c r="A5" t="s">
        <v>56</v>
      </c>
      <c r="B5" s="10">
        <f>AVERAGE('working sheet '!D:D)</f>
        <v>56360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5C8F4-AA08-4DF0-9FB3-EC8563DEFBEB}">
  <dimension ref="A1:S24"/>
  <sheetViews>
    <sheetView showGridLines="0" topLeftCell="A7" zoomScale="70" zoomScaleNormal="70" workbookViewId="0">
      <selection activeCell="I41" sqref="I41"/>
    </sheetView>
  </sheetViews>
  <sheetFormatPr defaultRowHeight="14.5" x14ac:dyDescent="0.35"/>
  <sheetData>
    <row r="1" spans="1:15" x14ac:dyDescent="0.35">
      <c r="A1" s="8" t="s">
        <v>50</v>
      </c>
      <c r="B1" s="9"/>
      <c r="C1" s="9"/>
      <c r="D1" s="9"/>
      <c r="E1" s="9"/>
      <c r="F1" s="9"/>
      <c r="G1" s="9"/>
      <c r="H1" s="9"/>
      <c r="I1" s="9"/>
      <c r="J1" s="9"/>
      <c r="K1" s="9"/>
      <c r="L1" s="9"/>
      <c r="M1" s="9"/>
      <c r="N1" s="9"/>
      <c r="O1" s="9"/>
    </row>
    <row r="2" spans="1:15" x14ac:dyDescent="0.35">
      <c r="A2" s="9"/>
      <c r="B2" s="9"/>
      <c r="C2" s="9"/>
      <c r="D2" s="9"/>
      <c r="E2" s="9"/>
      <c r="F2" s="9"/>
      <c r="G2" s="9"/>
      <c r="H2" s="9"/>
      <c r="I2" s="9"/>
      <c r="J2" s="9"/>
      <c r="K2" s="9"/>
      <c r="L2" s="9"/>
      <c r="M2" s="9"/>
      <c r="N2" s="9"/>
      <c r="O2" s="9"/>
    </row>
    <row r="3" spans="1:15" x14ac:dyDescent="0.35">
      <c r="A3" s="9"/>
      <c r="B3" s="9"/>
      <c r="C3" s="9"/>
      <c r="D3" s="9"/>
      <c r="E3" s="9"/>
      <c r="F3" s="9"/>
      <c r="G3" s="9"/>
      <c r="H3" s="9"/>
      <c r="I3" s="9"/>
      <c r="J3" s="9"/>
      <c r="K3" s="9"/>
      <c r="L3" s="9"/>
      <c r="M3" s="9"/>
      <c r="N3" s="9"/>
      <c r="O3" s="9"/>
    </row>
    <row r="4" spans="1:15" x14ac:dyDescent="0.35">
      <c r="A4" s="9"/>
      <c r="B4" s="9"/>
      <c r="C4" s="9"/>
      <c r="D4" s="9"/>
      <c r="E4" s="9"/>
      <c r="F4" s="9"/>
      <c r="G4" s="9"/>
      <c r="H4" s="9"/>
      <c r="I4" s="9"/>
      <c r="J4" s="9"/>
      <c r="K4" s="9"/>
      <c r="L4" s="9"/>
      <c r="M4" s="9"/>
      <c r="N4" s="9"/>
      <c r="O4" s="9"/>
    </row>
    <row r="5" spans="1:15" x14ac:dyDescent="0.35">
      <c r="A5" s="9"/>
      <c r="B5" s="9"/>
      <c r="C5" s="9"/>
      <c r="D5" s="9"/>
      <c r="E5" s="9"/>
      <c r="F5" s="9"/>
      <c r="G5" s="9"/>
      <c r="H5" s="9"/>
      <c r="I5" s="9"/>
      <c r="J5" s="9"/>
      <c r="K5" s="9"/>
      <c r="L5" s="9"/>
      <c r="M5" s="9"/>
      <c r="N5" s="9"/>
      <c r="O5" s="9"/>
    </row>
    <row r="6" spans="1:15" x14ac:dyDescent="0.35">
      <c r="A6" s="9"/>
      <c r="B6" s="9"/>
      <c r="C6" s="9"/>
      <c r="D6" s="9"/>
      <c r="E6" s="9"/>
      <c r="F6" s="9"/>
      <c r="G6" s="9"/>
      <c r="H6" s="9"/>
      <c r="I6" s="9"/>
      <c r="J6" s="9"/>
      <c r="K6" s="9"/>
      <c r="L6" s="9"/>
      <c r="M6" s="9"/>
      <c r="N6" s="9"/>
      <c r="O6" s="9"/>
    </row>
    <row r="7" spans="1:15" x14ac:dyDescent="0.35">
      <c r="A7" s="13"/>
      <c r="B7" s="14"/>
      <c r="C7" s="14"/>
      <c r="D7" s="14"/>
      <c r="E7" s="14"/>
      <c r="F7" s="14"/>
      <c r="G7" s="14"/>
      <c r="H7" s="14"/>
      <c r="I7" s="14"/>
      <c r="J7" s="14"/>
      <c r="K7" s="14"/>
      <c r="L7" s="14"/>
      <c r="M7" s="14"/>
      <c r="N7" s="14"/>
      <c r="O7" s="14"/>
    </row>
    <row r="8" spans="1:15" x14ac:dyDescent="0.35">
      <c r="A8" s="14"/>
      <c r="B8" s="14"/>
      <c r="C8" s="13"/>
      <c r="D8" s="14"/>
      <c r="E8" s="14"/>
      <c r="F8" s="14"/>
      <c r="G8" s="14"/>
      <c r="H8" s="14"/>
      <c r="I8" s="14"/>
      <c r="J8" s="14"/>
      <c r="K8" s="14"/>
      <c r="L8" s="14"/>
      <c r="M8" s="14"/>
      <c r="N8" s="14"/>
      <c r="O8" s="14"/>
    </row>
    <row r="9" spans="1:15" x14ac:dyDescent="0.35">
      <c r="A9" s="14"/>
      <c r="B9" s="14"/>
      <c r="C9" s="14"/>
      <c r="D9" s="14"/>
      <c r="E9" s="14"/>
      <c r="F9" s="14"/>
      <c r="G9" s="14"/>
      <c r="H9" s="14"/>
      <c r="I9" s="14"/>
      <c r="J9" s="14"/>
      <c r="K9" s="14"/>
      <c r="L9" s="14"/>
      <c r="M9" s="14"/>
      <c r="N9" s="14"/>
      <c r="O9" s="14"/>
    </row>
    <row r="10" spans="1:15" x14ac:dyDescent="0.35">
      <c r="A10" s="14"/>
      <c r="B10" s="14"/>
      <c r="C10" s="14"/>
      <c r="D10" s="14"/>
      <c r="E10" s="14"/>
      <c r="F10" s="14"/>
      <c r="G10" s="14"/>
      <c r="H10" s="14"/>
      <c r="I10" s="14"/>
      <c r="J10" s="14"/>
      <c r="K10" s="14"/>
      <c r="L10" s="14"/>
      <c r="M10" s="14"/>
      <c r="N10" s="14"/>
      <c r="O10" s="14"/>
    </row>
    <row r="24" spans="19:19" x14ac:dyDescent="0.35">
      <c r="S24" s="12"/>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 </vt:lpstr>
      <vt:lpstr>Pivot table </vt:lpstr>
      <vt:lpstr>KPI_calculation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Sunilkumar Labana</cp:lastModifiedBy>
  <dcterms:created xsi:type="dcterms:W3CDTF">2022-03-18T02:50:57Z</dcterms:created>
  <dcterms:modified xsi:type="dcterms:W3CDTF">2026-06-21T22:54:45Z</dcterms:modified>
</cp:coreProperties>
</file>